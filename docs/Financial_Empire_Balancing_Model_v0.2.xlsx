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c8e93307e43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2eff55b86c149ae"/>
    <x:sheet xmlns:r="http://schemas.openxmlformats.org/officeDocument/2006/relationships" name="Assumptions" sheetId="2" r:id="R5eceff4ef87b45a6"/>
    <x:sheet xmlns:r="http://schemas.openxmlformats.org/officeDocument/2006/relationships" name="Empire Progression" sheetId="3" r:id="Ra6de2cee49af4fde"/>
    <x:sheet xmlns:r="http://schemas.openxmlformats.org/officeDocument/2006/relationships" name="Building Balance" sheetId="4" r:id="R17d04f587fb5456a"/>
    <x:sheet xmlns:r="http://schemas.openxmlformats.org/officeDocument/2006/relationships" name="Upgrade Curves" sheetId="5" r:id="R140f67b89c3a413a"/>
    <x:sheet xmlns:r="http://schemas.openxmlformats.org/officeDocument/2006/relationships" name="Category Affinities" sheetId="6" r:id="R30e651c9a31a45e7"/>
    <x:sheet xmlns:r="http://schemas.openxmlformats.org/officeDocument/2006/relationships" name="Customer Simulation" sheetId="7" r:id="R8bf7e38b9d224b34"/>
    <x:sheet xmlns:r="http://schemas.openxmlformats.org/officeDocument/2006/relationships" name="Hex Balance" sheetId="8" r:id="R506456b6388d43fb"/>
    <x:sheet xmlns:r="http://schemas.openxmlformats.org/officeDocument/2006/relationships" name="Cash Flow Model" sheetId="9" r:id="Reecd7e5637254773"/>
    <x:sheet xmlns:r="http://schemas.openxmlformats.org/officeDocument/2006/relationships" name="Land Price Model" sheetId="10" r:id="Rc22052c1ff15424e"/>
    <x:sheet xmlns:r="http://schemas.openxmlformats.org/officeDocument/2006/relationships" name="Landmark Influence" sheetId="11" r:id="Rfa16f14b36f8413a"/>
    <x:sheet xmlns:r="http://schemas.openxmlformats.org/officeDocument/2006/relationships" name="Placement Simulator" sheetId="12" r:id="R244f614087bb49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;[Red]($#,##0);-"/>
    <x:numFmt numFmtId="201" formatCode="0.0"/>
    <x:numFmt numFmtId="202" formatCode="0.0%;[Red](0.0%);-"/>
    <x:numFmt numFmtId="203" formatCode="0.00x"/>
    <x:numFmt numFmtId="204" formatCode="0.00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b/>
      <x:sz val="16"/>
      <x:color rgb="FFFFFFFF"/>
      <x:name val="Carlito"/>
    </x:font>
    <x:font>
      <x:sz val="11"/>
      <x:color rgb="FF0000FF"/>
      <x:name val="Carlito"/>
    </x:font>
    <x:font>
      <x:b/>
      <x:sz val="15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0B1F33"/>
      <x:name val="Aptos"/>
    </x:font>
    <x:font>
      <x:sz val="10"/>
      <x:color rgb="FF008000"/>
      <x:name val="Aptos"/>
    </x:font>
    <x:font>
      <x:sz val="10"/>
      <x:color rgb="FF0000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7EEF6"/>
      </x:patternFill>
    </x:fill>
    <x:fill>
      <x:patternFill patternType="solid">
        <x:fgColor rgb="FF17324D"/>
      </x:patternFill>
    </x:fill>
    <x:fill>
      <x:patternFill patternType="solid">
        <x:fgColor rgb="FFF4F7FA"/>
      </x:patternFill>
    </x:fill>
    <x:fill>
      <x:patternFill patternType="solid">
        <x:fgColor rgb="FFFFF2CC"/>
      </x:patternFill>
    </x:fill>
    <x:fill>
      <x:patternFill patternType="solid">
        <x:fgColor rgb="FFFFFBEA"/>
      </x:patternFill>
    </x:fill>
  </x:fills>
  <x:borders count="2">
    <x:border/>
    <x:border/>
  </x:borders>
  <x:cellStyleXfs count="1">
    <x:xf numFmtId="0" fontId="0" fillId="0" borderId="0"/>
  </x:cellStyleXfs>
  <x:cellXfs count="1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202" fontId="6" fillId="6" borderId="0" xfId="0" applyNumberFormat="1" applyFont="1" applyFill="1" applyBorder="1"/>
    <x:xf numFmtId="202" fontId="6" fillId="6" borderId="1" xfId="0" applyNumberFormat="1" applyFont="1" applyFill="1" applyBorder="1"/>
    <x:xf numFmtId="203" fontId="6" fillId="6" borderId="0" xfId="0" applyNumberFormat="1" applyFont="1" applyFill="1" applyBorder="1"/>
    <x:xf numFmtId="203" fontId="6" fillId="6" borderId="1" xfId="0" applyNumberFormat="1" applyFont="1" applyFill="1" applyBorder="1"/>
    <x:xf numFmtId="201" fontId="6" fillId="6" borderId="0" xfId="0" applyNumberFormat="1" applyFont="1" applyFill="1" applyBorder="1"/>
    <x:xf numFmtId="201" fontId="6" fillId="6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20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200" fontId="6" fillId="7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6" fillId="7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6" fillId="7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2" fontId="6" fillId="7" borderId="0" xfId="0" applyNumberFormat="1" applyFont="1" applyFill="1" applyBorder="1"/>
    <x:xf numFmtId="202" fontId="6" fillId="7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4" fontId="6" fillId="7" borderId="0" xfId="0" applyNumberFormat="1" applyFont="1" applyFill="1" applyBorder="1"/>
    <x:xf numFmtId="204" fontId="6" fillId="7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3" fontId="4" fillId="0" borderId="1" xfId="0" applyNumberFormat="1" applyFont="1" applyFill="1" applyBorder="1" applyAlignment="1">
      <x:alignment wrapText="1"/>
    </x:xf>
    <x:xf numFmtId="0" fontId="4" fillId="7" borderId="0" xfId="0" applyNumberFormat="1" applyFont="1" applyFill="1" applyBorder="1"/>
    <x:xf numFmtId="201" fontId="6" fillId="7" borderId="0" xfId="0" applyNumberFormat="1" applyFont="1" applyFill="1" applyBorder="1"/>
    <x:xf numFmtId="0" fontId="4" fillId="7" borderId="1" xfId="0" applyNumberFormat="1" applyFont="1" applyFill="1" applyBorder="1"/>
    <x:xf numFmtId="201" fontId="6" fillId="7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1" fontId="6" fillId="7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201" fontId="6" fillId="7" borderId="1" xfId="0" applyNumberFormat="1" applyFont="1" applyFill="1" applyBorder="1" applyAlignment="1">
      <x:alignment wrapText="1"/>
    </x:xf>
    <x:xf numFmtId="202" fontId="4" fillId="0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0" fontId="10" fillId="5" borderId="0" xfId="0" applyNumberFormat="1" applyFont="1" applyFill="1" applyBorder="1"/>
    <x:xf numFmtId="200" fontId="11" fillId="0" borderId="0" xfId="0" applyNumberFormat="1" applyFont="1" applyFill="1" applyBorder="1"/>
    <x:xf numFmtId="201" fontId="11" fillId="0" borderId="0" xfId="0" applyNumberFormat="1" applyFont="1" applyFill="1" applyBorder="1"/>
    <x:xf numFmtId="0" fontId="8" fillId="2" borderId="1" xfId="0" applyNumberFormat="1" applyFont="1" applyFill="1" applyBorder="1"/>
    <x:xf numFmtId="0" fontId="9" fillId="0" borderId="1" xfId="0" applyNumberFormat="1" applyFont="1" applyFill="1" applyBorder="1"/>
    <x:xf numFmtId="0" fontId="10" fillId="3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/>
    <x:xf numFmtId="0" fontId="10" fillId="5" borderId="1" xfId="0" applyNumberFormat="1" applyFont="1" applyFill="1" applyBorder="1"/>
    <x:xf numFmtId="200" fontId="11" fillId="0" borderId="1" xfId="0" applyNumberFormat="1" applyFont="1" applyFill="1" applyBorder="1"/>
    <x:xf numFmtId="201" fontId="11" fillId="0" borderId="1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vertical="center"/>
    </x:xf>
    <x:xf numFmtId="200" fontId="11" fillId="0" borderId="1" xfId="0" applyNumberFormat="1" applyFont="1" applyFill="1" applyBorder="1" applyAlignment="1">
      <x:alignment vertical="center"/>
    </x:xf>
    <x:xf numFmtId="201" fontId="11" fillId="0" borderId="1" xfId="0" applyNumberFormat="1" applyFont="1" applyFill="1" applyBorder="1" applyAlignment="1">
      <x:alignment vertical="center"/>
    </x:xf>
    <x:xf numFmtId="202" fontId="12" fillId="6" borderId="0" xfId="0" applyNumberFormat="1" applyFont="1" applyFill="1" applyBorder="1"/>
    <x:xf numFmtId="201" fontId="12" fillId="6" borderId="0" xfId="0" applyNumberFormat="1" applyFont="1" applyFill="1" applyBorder="1"/>
    <x:xf numFmtId="0" fontId="12" fillId="6" borderId="0" xfId="0" applyNumberFormat="1" applyFont="1" applyFill="1" applyBorder="1"/>
    <x:xf numFmtId="203" fontId="12" fillId="6" borderId="0" xfId="0" applyNumberFormat="1" applyFont="1" applyFill="1" applyBorder="1"/>
    <x:xf numFmtId="202" fontId="12" fillId="6" borderId="1" xfId="0" applyNumberFormat="1" applyFont="1" applyFill="1" applyBorder="1"/>
    <x:xf numFmtId="201" fontId="12" fillId="6" borderId="1" xfId="0" applyNumberFormat="1" applyFont="1" applyFill="1" applyBorder="1"/>
    <x:xf numFmtId="0" fontId="12" fillId="6" borderId="1" xfId="0" applyNumberFormat="1" applyFont="1" applyFill="1" applyBorder="1"/>
    <x:xf numFmtId="203" fontId="12" fillId="6" borderId="1" xfId="0" applyNumberFormat="1" applyFont="1" applyFill="1" applyBorder="1"/>
    <x:xf numFmtId="202" fontId="12" fillId="6" borderId="0" xfId="0" applyNumberFormat="1" applyFont="1" applyFill="1" applyBorder="1" applyAlignment="1">
      <x:alignment vertical="center"/>
    </x:xf>
    <x:xf numFmtId="201" fontId="12" fillId="6" borderId="0" xfId="0" applyNumberFormat="1" applyFont="1" applyFill="1" applyBorder="1" applyAlignment="1">
      <x:alignment vertical="center"/>
    </x:xf>
    <x:xf numFmtId="0" fontId="12" fillId="6" borderId="0" xfId="0" applyNumberFormat="1" applyFont="1" applyFill="1" applyBorder="1" applyAlignment="1">
      <x:alignment vertical="center"/>
    </x:xf>
    <x:xf numFmtId="203" fontId="12" fillId="6" borderId="0" xfId="0" applyNumberFormat="1" applyFont="1" applyFill="1" applyBorder="1" applyAlignment="1">
      <x:alignment vertical="center"/>
    </x:xf>
    <x:xf numFmtId="202" fontId="12" fillId="6" borderId="1" xfId="0" applyNumberFormat="1" applyFont="1" applyFill="1" applyBorder="1" applyAlignment="1">
      <x:alignment vertical="center"/>
    </x:xf>
    <x:xf numFmtId="201" fontId="12" fillId="6" borderId="1" xfId="0" applyNumberFormat="1" applyFont="1" applyFill="1" applyBorder="1" applyAlignment="1">
      <x:alignment vertical="center"/>
    </x:xf>
    <x:xf numFmtId="0" fontId="12" fillId="6" borderId="1" xfId="0" applyNumberFormat="1" applyFont="1" applyFill="1" applyBorder="1" applyAlignment="1">
      <x:alignment vertical="center"/>
    </x:xf>
    <x:xf numFmtId="203" fontId="12" fillId="6" borderId="1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wrapText="1"/>
    </x:xf>
    <x:xf numFmtId="203" fontId="9" fillId="0" borderId="0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wrapText="1"/>
    </x:xf>
    <x:xf numFmtId="203" fontId="9" fillId="0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203" fontId="9" fillId="0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vertical="center" wrapText="1"/>
    </x:xf>
    <x:xf numFmtId="203" fontId="9" fillId="0" borderId="1" xfId="0" applyNumberFormat="1" applyFont="1" applyFill="1" applyBorder="1" applyAlignment="1">
      <x:alignment vertical="center" wrapText="1"/>
    </x:xf>
    <x:xf numFmtId="200" fontId="12" fillId="7" borderId="0" xfId="0" applyNumberFormat="1" applyFont="1" applyFill="1" applyBorder="1" applyAlignment="1">
      <x:alignment wrapText="1"/>
    </x:xf>
    <x:xf numFmtId="200" fontId="11" fillId="0" borderId="0" xfId="0" applyNumberFormat="1" applyFont="1" applyFill="1" applyBorder="1" applyAlignment="1">
      <x:alignment wrapText="1"/>
    </x:xf>
    <x:xf numFmtId="200" fontId="12" fillId="7" borderId="1" xfId="0" applyNumberFormat="1" applyFont="1" applyFill="1" applyBorder="1" applyAlignment="1">
      <x:alignment wrapText="1"/>
    </x:xf>
    <x:xf numFmtId="200" fontId="11" fillId="0" borderId="1" xfId="0" applyNumberFormat="1" applyFont="1" applyFill="1" applyBorder="1" applyAlignment="1">
      <x:alignment wrapText="1"/>
    </x:xf>
    <x:xf numFmtId="200" fontId="12" fillId="7" borderId="0" xfId="0" applyNumberFormat="1" applyFont="1" applyFill="1" applyBorder="1" applyAlignment="1">
      <x:alignment vertical="center" wrapText="1"/>
    </x:xf>
    <x:xf numFmtId="200" fontId="11" fillId="0" borderId="0" xfId="0" applyNumberFormat="1" applyFont="1" applyFill="1" applyBorder="1" applyAlignment="1">
      <x:alignment vertical="center" wrapText="1"/>
    </x:xf>
    <x:xf numFmtId="200" fontId="12" fillId="7" borderId="1" xfId="0" applyNumberFormat="1" applyFont="1" applyFill="1" applyBorder="1" applyAlignment="1">
      <x:alignment vertical="center" wrapText="1"/>
    </x:xf>
    <x:xf numFmtId="200" fontId="11" fillId="0" borderId="1" xfId="0" applyNumberFormat="1" applyFont="1" applyFill="1" applyBorder="1" applyAlignment="1">
      <x:alignment vertical="center" wrapText="1"/>
    </x:xf>
    <x:xf numFmtId="202" fontId="12" fillId="7" borderId="0" xfId="0" applyNumberFormat="1" applyFont="1" applyFill="1" applyBorder="1"/>
    <x:xf numFmtId="202" fontId="12" fillId="7" borderId="1" xfId="0" applyNumberFormat="1" applyFont="1" applyFill="1" applyBorder="1"/>
    <x:xf numFmtId="202" fontId="12" fillId="7" borderId="0" xfId="0" applyNumberFormat="1" applyFont="1" applyFill="1" applyBorder="1" applyAlignment="1">
      <x:alignment vertical="center"/>
    </x:xf>
    <x:xf numFmtId="202" fontId="12" fillId="7" borderId="1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wrapText="1"/>
    </x:xf>
    <x:xf numFmtId="204" fontId="12" fillId="7" borderId="0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204" fontId="12" fillId="7" borderId="1" xfId="0" applyNumberFormat="1" applyFont="1" applyFill="1" applyBorder="1"/>
    <x:xf numFmtId="0" fontId="8" fillId="4" borderId="0" xfId="0" applyNumberFormat="1" applyFont="1" applyFill="1" applyBorder="1" applyAlignment="1">
      <x:alignment vertical="center" wrapText="1"/>
    </x:xf>
    <x:xf numFmtId="204" fontId="12" fillId="7" borderId="0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vertical="center" wrapText="1"/>
    </x:xf>
    <x:xf numFmtId="204" fontId="12" fillId="7" borderId="1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wrapText="1"/>
    </x:xf>
    <x:xf numFmtId="201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203" fontId="11" fillId="0" borderId="0" xfId="0" applyNumberFormat="1" applyFont="1" applyFill="1" applyBorder="1" applyAlignment="1">
      <x:alignment wrapText="1"/>
    </x:xf>
    <x:xf numFmtId="0" fontId="12" fillId="7" borderId="1" xfId="0" applyNumberFormat="1" applyFont="1" applyFill="1" applyBorder="1" applyAlignment="1">
      <x:alignment wrapText="1"/>
    </x:xf>
    <x:xf numFmtId="201" fontId="11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wrapText="1"/>
    </x:xf>
    <x:xf numFmtId="203" fontId="11" fillId="0" borderId="1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vertical="center" wrapText="1"/>
    </x:xf>
    <x:xf numFmtId="201" fontId="11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203" fontId="11" fillId="0" borderId="0" xfId="0" applyNumberFormat="1" applyFont="1" applyFill="1" applyBorder="1" applyAlignment="1">
      <x:alignment vertical="center" wrapText="1"/>
    </x:xf>
    <x:xf numFmtId="0" fontId="12" fillId="7" borderId="1" xfId="0" applyNumberFormat="1" applyFont="1" applyFill="1" applyBorder="1" applyAlignment="1">
      <x:alignment vertical="center" wrapText="1"/>
    </x:xf>
    <x:xf numFmtId="201" fontId="11" fillId="0" borderId="1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vertical="center" wrapText="1"/>
    </x:xf>
    <x:xf numFmtId="203" fontId="11" fillId="0" borderId="1" xfId="0" applyNumberFormat="1" applyFont="1" applyFill="1" applyBorder="1" applyAlignment="1">
      <x:alignment vertical="center" wrapText="1"/>
    </x:xf>
    <x:xf numFmtId="203" fontId="11" fillId="0" borderId="0" xfId="0" applyNumberFormat="1" applyFont="1" applyFill="1" applyBorder="1"/>
    <x:xf numFmtId="203" fontId="11" fillId="0" borderId="1" xfId="0" applyNumberFormat="1" applyFont="1" applyFill="1" applyBorder="1"/>
    <x:xf numFmtId="203" fontId="11" fillId="0" borderId="0" xfId="0" applyNumberFormat="1" applyFont="1" applyFill="1" applyBorder="1" applyAlignment="1">
      <x:alignment vertical="center"/>
    </x:xf>
    <x:xf numFmtId="203" fontId="11" fillId="0" borderId="1" xfId="0" applyNumberFormat="1" applyFont="1" applyFill="1" applyBorder="1" applyAlignment="1">
      <x:alignment vertical="center"/>
    </x:xf>
    <x:xf numFmtId="201" fontId="12" fillId="7" borderId="0" xfId="0" applyNumberFormat="1" applyFont="1" applyFill="1" applyBorder="1" applyAlignment="1">
      <x:alignment wrapText="1"/>
    </x:xf>
    <x:xf numFmtId="202" fontId="11" fillId="0" borderId="0" xfId="0" applyNumberFormat="1" applyFont="1" applyFill="1" applyBorder="1" applyAlignment="1">
      <x:alignment wrapText="1"/>
    </x:xf>
    <x:xf numFmtId="201" fontId="12" fillId="7" borderId="1" xfId="0" applyNumberFormat="1" applyFont="1" applyFill="1" applyBorder="1" applyAlignment="1">
      <x:alignment wrapText="1"/>
    </x:xf>
    <x:xf numFmtId="202" fontId="11" fillId="0" borderId="1" xfId="0" applyNumberFormat="1" applyFont="1" applyFill="1" applyBorder="1" applyAlignment="1">
      <x:alignment wrapText="1"/>
    </x:xf>
    <x:xf numFmtId="201" fontId="12" fillId="7" borderId="0" xfId="0" applyNumberFormat="1" applyFont="1" applyFill="1" applyBorder="1" applyAlignment="1">
      <x:alignment vertical="center" wrapText="1"/>
    </x:xf>
    <x:xf numFmtId="202" fontId="11" fillId="0" borderId="0" xfId="0" applyNumberFormat="1" applyFont="1" applyFill="1" applyBorder="1" applyAlignment="1">
      <x:alignment vertical="center" wrapText="1"/>
    </x:xf>
    <x:xf numFmtId="201" fontId="12" fillId="7" borderId="1" xfId="0" applyNumberFormat="1" applyFont="1" applyFill="1" applyBorder="1" applyAlignment="1">
      <x:alignment vertical="center" wrapText="1"/>
    </x:xf>
    <x:xf numFmtId="202" fontId="11" fillId="0" borderId="1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202" fontId="11" fillId="0" borderId="0" xfId="0" applyNumberFormat="1" applyFont="1" applyFill="1" applyBorder="1"/>
    <x:xf numFmtId="0" fontId="11" fillId="0" borderId="1" xfId="0" applyNumberFormat="1" applyFont="1" applyFill="1" applyBorder="1"/>
    <x:xf numFmtId="202" fontId="11" fillId="0" borderId="1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202" fontId="1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15cfb762334675" /><Relationship Type="http://schemas.openxmlformats.org/officeDocument/2006/relationships/theme" Target="/xl/theme/theme1.xml" Id="R5911efc3c77241fe" /><Relationship Type="http://schemas.openxmlformats.org/officeDocument/2006/relationships/sharedStrings" Target="/xl/sharedStrings.xml" Id="R13e9165f829943ad" /><Relationship Type="http://schemas.openxmlformats.org/officeDocument/2006/relationships/worksheet" Target="/xl/worksheets/sheet1.xml" Id="R42eff55b86c149ae" /><Relationship Type="http://schemas.openxmlformats.org/officeDocument/2006/relationships/worksheet" Target="/xl/worksheets/sheet2.xml" Id="R5eceff4ef87b45a6" /><Relationship Type="http://schemas.openxmlformats.org/officeDocument/2006/relationships/worksheet" Target="/xl/worksheets/sheet3.xml" Id="Ra6de2cee49af4fde" /><Relationship Type="http://schemas.openxmlformats.org/officeDocument/2006/relationships/worksheet" Target="/xl/worksheets/sheet4.xml" Id="R17d04f587fb5456a" /><Relationship Type="http://schemas.openxmlformats.org/officeDocument/2006/relationships/worksheet" Target="/xl/worksheets/sheet5.xml" Id="R140f67b89c3a413a" /><Relationship Type="http://schemas.openxmlformats.org/officeDocument/2006/relationships/worksheet" Target="/xl/worksheets/sheet6.xml" Id="R30e651c9a31a45e7" /><Relationship Type="http://schemas.openxmlformats.org/officeDocument/2006/relationships/worksheet" Target="/xl/worksheets/sheet7.xml" Id="R8bf7e38b9d224b34" /><Relationship Type="http://schemas.openxmlformats.org/officeDocument/2006/relationships/worksheet" Target="/xl/worksheets/sheet8.xml" Id="R506456b6388d43fb" /><Relationship Type="http://schemas.openxmlformats.org/officeDocument/2006/relationships/worksheet" Target="/xl/worksheets/sheet9.xml" Id="Reecd7e5637254773" /><Relationship Type="http://schemas.openxmlformats.org/officeDocument/2006/relationships/worksheet" Target="/xl/worksheets/sheet10.xml" Id="Rc22052c1ff15424e" /><Relationship Type="http://schemas.openxmlformats.org/officeDocument/2006/relationships/worksheet" Target="/xl/worksheets/sheet11.xml" Id="Rfa16f14b36f8413a" /><Relationship Type="http://schemas.openxmlformats.org/officeDocument/2006/relationships/worksheet" Target="/xl/worksheets/sheet12.xml" Id="R244f614087bb49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9023e30fc3d4cb5" /><Relationship Type="http://schemas.openxmlformats.org/officeDocument/2006/relationships/chart" Target="/xl/drawings/charts/chart2.xml" Id="Re032243d010a48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Expected Net Cash / Day Through Growing</a:t>
            </a:r>
          </a:p>
        </c:rich>
      </c:tx>
    </c:title>
    <c:plotArea>
      <c:lineChart>
        <c:grouping val="standard"/>
        <c:ser>
          <c:idx val="0"/>
          <c:order val="0"/>
          <c:tx>
            <c:v>Rank</c:v>
          </c:tx>
          <c:marker>
            <c:symbol val="none"/>
          </c:marker>
          <c:cat>
            <c:strRef>
              <c:f>'Cash Flow Model'!$A$2:$A$13</c:f>
              <c:strCache>
                <c:ptCount val="0"/>
              </c:strCache>
            </c:strRef>
          </c:cat>
          <c:val>
            <c:numRef>
              <c:f>'Cash Flow Model'!$B$2:$B$13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Hex Capacity</c:v>
          </c:tx>
          <c:marker>
            <c:symbol val="none"/>
          </c:marker>
          <c:cat>
            <c:strRef>
              <c:f>'Cash Flow Model'!$A$2:$A$13</c:f>
              <c:strCache>
                <c:ptCount val="0"/>
              </c:strCache>
            </c:strRef>
          </c:cat>
          <c:val>
            <c:numRef>
              <c:f>'Cash Flow Model'!$C$2:$C$13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Eligible Building Types</c:v>
          </c:tx>
          <c:marker>
            <c:symbol val="none"/>
          </c:marker>
          <c:cat>
            <c:strRef>
              <c:f>'Cash Flow Model'!$A$2:$A$13</c:f>
              <c:strCache>
                <c:ptCount val="0"/>
              </c:strCache>
            </c:strRef>
          </c:cat>
          <c:val>
            <c:numRef>
              <c:f>'Cash Flow Model'!$D$2:$D$13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Avg Eligible Base Net / Day</c:v>
          </c:tx>
          <c:marker>
            <c:symbol val="none"/>
          </c:marker>
          <c:cat>
            <c:strRef>
              <c:f>'Cash Flow Model'!$A$2:$A$13</c:f>
              <c:strCache>
                <c:ptCount val="0"/>
              </c:strCache>
            </c:strRef>
          </c:cat>
          <c:val>
            <c:numRef>
              <c:f>'Cash Flow Model'!$E$2:$E$13</c:f>
              <c:numCache>
                <c:formatCode>$#,##0;[Red]($#,##0);-</c:formatCode>
                <c:ptCount val="0"/>
              </c:numCache>
            </c:numRef>
          </c:val>
        </c:ser>
        <c:ser>
          <c:idx val="4"/>
          <c:order val="4"/>
          <c:tx>
            <c:v>Expected Avg Upgrade Mult</c:v>
          </c:tx>
          <c:marker>
            <c:symbol val="none"/>
          </c:marker>
          <c:cat>
            <c:strRef>
              <c:f>'Cash Flow Model'!$A$2:$A$13</c:f>
              <c:strCache>
                <c:ptCount val="0"/>
              </c:strCache>
            </c:strRef>
          </c:cat>
          <c:val>
            <c:numRef>
              <c:f>'Cash Flow Model'!$F$2:$F$13</c:f>
              <c:numCache>
                <c:formatCode>0.00x</c:formatCode>
                <c:ptCount val="0"/>
              </c:numCache>
            </c:numRef>
          </c:val>
        </c:ser>
        <c:ser>
          <c:idx val="5"/>
          <c:order val="5"/>
          <c:tx>
            <c:v>Occupancy</c:v>
          </c:tx>
          <c:marker>
            <c:symbol val="none"/>
          </c:marker>
          <c:cat>
            <c:strRef>
              <c:f>'Cash Flow Model'!$A$2:$A$13</c:f>
              <c:strCache>
                <c:ptCount val="0"/>
              </c:strCache>
            </c:strRef>
          </c:cat>
          <c:val>
            <c:numRef>
              <c:f>'Cash Flow Model'!$G$2:$G$13</c:f>
              <c:numCache>
                <c:formatCode>0.00x</c:formatCode>
                <c:ptCount val="0"/>
              </c:numCache>
            </c:numRef>
          </c:val>
        </c:ser>
        <c:ser>
          <c:idx val="6"/>
          <c:order val="6"/>
          <c:tx>
            <c:v>Expected Net Cash / Day</c:v>
          </c:tx>
          <c:marker>
            <c:symbol val="none"/>
          </c:marker>
          <c:cat>
            <c:strRef>
              <c:f>'Cash Flow Model'!$A$2:$A$13</c:f>
              <c:strCache>
                <c:ptCount val="0"/>
              </c:strCache>
            </c:strRef>
          </c:cat>
          <c:val>
            <c:numRef>
              <c:f>'Cash Flow Model'!$H$2:$H$13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Land Unlock Cost Curve</a:t>
            </a:r>
          </a:p>
        </c:rich>
      </c:tx>
    </c:title>
    <c:plotArea>
      <c:lineChart>
        <c:grouping val="standard"/>
        <c:ser>
          <c:idx val="0"/>
          <c:order val="0"/>
          <c:tx>
            <c:v>Parcel ID</c:v>
          </c:tx>
          <c:marker>
            <c:symbol val="none"/>
          </c:marker>
          <c:cat>
            <c:strRef>
              <c:f>'Land Price Model'!$A$2:$A$36</c:f>
              <c:strCache>
                <c:ptCount val="0"/>
              </c:strCache>
            </c:strRef>
          </c:cat>
          <c:val>
            <c:numRef>
              <c:f>'Land Price Model'!$B$2:$B$36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Current Map Label</c:v>
          </c:tx>
          <c:marker>
            <c:symbol val="none"/>
          </c:marker>
          <c:cat>
            <c:strRef>
              <c:f>'Land Price Model'!$A$2:$A$36</c:f>
              <c:strCache>
                <c:ptCount val="0"/>
              </c:strCache>
            </c:strRef>
          </c:cat>
          <c:val>
            <c:numRef>
              <c:f>'Land Price Model'!$C$2:$C$36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Land Grade</c:v>
          </c:tx>
          <c:marker>
            <c:symbol val="none"/>
          </c:marker>
          <c:cat>
            <c:strRef>
              <c:f>'Land Price Model'!$A$2:$A$36</c:f>
              <c:strCache>
                <c:ptCount val="0"/>
              </c:strCache>
            </c:strRef>
          </c:cat>
          <c:val>
            <c:numRef>
              <c:f>'Land Price Model'!$D$2:$D$36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Acquisition Method</c:v>
          </c:tx>
          <c:marker>
            <c:symbol val="none"/>
          </c:marker>
          <c:cat>
            <c:strRef>
              <c:f>'Land Price Model'!$A$2:$A$36</c:f>
              <c:strCache>
                <c:ptCount val="0"/>
              </c:strCache>
            </c:strRef>
          </c:cat>
          <c:val>
            <c:numRef>
              <c:f>'Land Price Model'!$E$2:$E$36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Required Empire Level</c:v>
          </c:tx>
          <c:marker>
            <c:symbol val="none"/>
          </c:marker>
          <c:cat>
            <c:strRef>
              <c:f>'Land Price Model'!$A$2:$A$36</c:f>
              <c:strCache>
                <c:ptCount val="0"/>
              </c:strCache>
            </c:strRef>
          </c:cat>
          <c:val>
            <c:numRef>
              <c:f>'Land Price Model'!$F$2:$F$36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Capacity Check Level</c:v>
          </c:tx>
          <c:marker>
            <c:symbol val="none"/>
          </c:marker>
          <c:cat>
            <c:strRef>
              <c:f>'Land Price Model'!$A$2:$A$36</c:f>
              <c:strCache>
                <c:ptCount val="0"/>
              </c:strCache>
            </c:strRef>
          </c:cat>
          <c:val>
            <c:numRef>
              <c:f>'Land Price Model'!$G$2:$G$36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Expected Net Cash / Day at Unlock</c:v>
          </c:tx>
          <c:marker>
            <c:symbol val="none"/>
          </c:marker>
          <c:cat>
            <c:strRef>
              <c:f>'Land Price Model'!$A$2:$A$36</c:f>
              <c:strCache>
                <c:ptCount val="0"/>
              </c:strCache>
            </c:strRef>
          </c:cat>
          <c:val>
            <c:numRef>
              <c:f>'Land Price Model'!$H$2:$H$36</c:f>
              <c:numCache>
                <c:formatCode>$#,##0;[Red]($#,##0);-</c:formatCode>
                <c:ptCount val="0"/>
              </c:numCache>
            </c:numRef>
          </c:val>
        </c:ser>
        <c:ser>
          <c:idx val="7"/>
          <c:order val="7"/>
          <c:tx>
            <c:v>Target Days to Afford</c:v>
          </c:tx>
          <c:marker>
            <c:symbol val="none"/>
          </c:marker>
          <c:cat>
            <c:strRef>
              <c:f>'Land Price Model'!$A$2:$A$36</c:f>
              <c:strCache>
                <c:ptCount val="0"/>
              </c:strCache>
            </c:strRef>
          </c:cat>
          <c:val>
            <c:numRef>
              <c:f>'Land Price Model'!$I$2:$I$36</c:f>
              <c:numCache>
                <c:formatCode>0.0</c:formatCode>
                <c:ptCount val="0"/>
              </c:numCache>
            </c:numRef>
          </c:val>
        </c:ser>
        <c:ser>
          <c:idx val="8"/>
          <c:order val="8"/>
          <c:tx>
            <c:v>Savings Allocation</c:v>
          </c:tx>
          <c:marker>
            <c:symbol val="none"/>
          </c:marker>
          <c:cat>
            <c:strRef>
              <c:f>'Land Price Model'!$A$2:$A$36</c:f>
              <c:strCache>
                <c:ptCount val="0"/>
              </c:strCache>
            </c:strRef>
          </c:cat>
          <c:val>
            <c:numRef>
              <c:f>'Land Price Model'!$J$2:$J$36</c:f>
              <c:numCache>
                <c:formatCode>0.0%;[Red](0.0%);-</c:formatCode>
                <c:ptCount val="0"/>
              </c:numCache>
            </c:numRef>
          </c:val>
        </c:ser>
        <c:ser>
          <c:idx val="9"/>
          <c:order val="9"/>
          <c:tx>
            <c:v>Location Price Mult</c:v>
          </c:tx>
          <c:marker>
            <c:symbol val="none"/>
          </c:marker>
          <c:cat>
            <c:strRef>
              <c:f>'Land Price Model'!$A$2:$A$36</c:f>
              <c:strCache>
                <c:ptCount val="0"/>
              </c:strCache>
            </c:strRef>
          </c:cat>
          <c:val>
            <c:numRef>
              <c:f>'Land Price Model'!$K$2:$K$36</c:f>
              <c:numCache>
                <c:formatCode>0.00x</c:formatCode>
                <c:ptCount val="0"/>
              </c:numCache>
            </c:numRef>
          </c:val>
        </c:ser>
        <c:ser>
          <c:idx val="10"/>
          <c:order val="10"/>
          <c:tx>
            <c:v>Final Unlock Cost</c:v>
          </c:tx>
          <c:marker>
            <c:symbol val="none"/>
          </c:marker>
          <c:cat>
            <c:strRef>
              <c:f>'Land Price Model'!$A$2:$A$36</c:f>
              <c:strCache>
                <c:ptCount val="0"/>
              </c:strCache>
            </c:strRef>
          </c:cat>
          <c:val>
            <c:numRef>
              <c:f>'Land Price Model'!$L$2:$L$36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10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023e30fc3d4cb5"/>
        </a:graphicData>
      </a:graphic>
    </xdr:graphicFrame>
    <xdr:clientData/>
  </xdr:twoCellAnchor>
  <xdr:twoCellAnchor>
    <xdr:from>
      <xdr:col>3</xdr:col>
      <xdr:colOff>0</xdr:colOff>
      <xdr:row>30</xdr:row>
      <xdr:rowOff>0</xdr:rowOff>
    </xdr:from>
    <xdr:to>
      <xdr:col>10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32243d010a48f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8c0921842704b9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4" hidden="0" customWidth="1"/>
  </x:cols>
  <x:sheetData>
    <x:row r="1" ht="30" customHeight="1">
      <x:c r="A1" s="104" t="str">
        <x:v>Financial Empire — Connected Balancing Model v0.2</x:v>
      </x:c>
      <x:c r="B1" s="104"/>
      <x:c r="C1" s="104"/>
      <x:c r="D1" s="104"/>
      <x:c r="E1" s="104"/>
      <x:c r="F1" s="104"/>
      <x:c r="G1" s="104"/>
      <x:c r="H1" s="104"/>
      <x:c r="I1" s="104"/>
      <x:c r="J1" s="104"/>
      <x:c r="K1" s="105"/>
      <x:c r="L1" s="105"/>
      <x:c r="M1" s="105"/>
      <x:c r="N1" s="105"/>
      <x:c r="O1" s="105"/>
      <x:c r="P1" s="105"/>
      <x:c r="Q1" s="105"/>
      <x:c r="R1" s="105"/>
      <x:c r="S1" s="105"/>
      <x:c r="T1" s="105"/>
      <x:c r="U1" s="105"/>
    </x:row>
    <x:row r="2">
      <x:c r="A2" s="105"/>
      <x:c r="B2" s="105"/>
      <x:c r="C2" s="105"/>
      <x:c r="D2" s="105"/>
      <x:c r="E2" s="105"/>
      <x:c r="F2" s="105"/>
      <x:c r="G2" s="105"/>
      <x:c r="H2" s="105"/>
      <x:c r="I2" s="105"/>
      <x:c r="J2" s="105"/>
      <x:c r="K2" s="105"/>
      <x:c r="L2" s="105"/>
      <x:c r="M2" s="105"/>
      <x:c r="N2" s="105"/>
      <x:c r="O2" s="105"/>
      <x:c r="P2" s="105"/>
      <x:c r="Q2" s="105"/>
      <x:c r="R2" s="105"/>
      <x:c r="S2" s="105"/>
      <x:c r="T2" s="105"/>
      <x:c r="U2" s="105"/>
    </x:row>
    <x:row r="3">
      <x:c r="A3" s="106" t="str">
        <x:v>Model principle</x:v>
      </x:c>
      <x:c r="B3" s="107" t="str">
        <x:v>Buildings, upgrades, customer simulation, land attributes, land prices and progression are linked.</x:v>
      </x:c>
      <x:c r="C3" s="105"/>
      <x:c r="D3" s="105"/>
      <x:c r="E3" s="105"/>
      <x:c r="F3" s="105"/>
      <x:c r="G3" s="105"/>
      <x:c r="H3" s="105"/>
      <x:c r="I3" s="105"/>
      <x:c r="J3" s="105"/>
      <x:c r="K3" s="105"/>
      <x:c r="L3" s="105"/>
      <x:c r="M3" s="105"/>
      <x:c r="N3" s="105"/>
      <x:c r="O3" s="105"/>
      <x:c r="P3" s="105"/>
      <x:c r="Q3" s="105"/>
      <x:c r="R3" s="105"/>
      <x:c r="S3" s="105"/>
      <x:c r="T3" s="105"/>
      <x:c r="U3" s="105"/>
    </x:row>
    <x:row r="4">
      <x:c r="A4" s="106" t="str">
        <x:v>Empire levels</x:v>
      </x:c>
      <x:c r="B4" s="107" t="str">
        <x:v>24 levels, separate from the 50-building ladder.</x:v>
      </x:c>
      <x:c r="C4" s="105"/>
      <x:c r="D4" s="105"/>
      <x:c r="E4" s="105"/>
      <x:c r="F4" s="105"/>
      <x:c r="G4" s="105"/>
      <x:c r="H4" s="105"/>
      <x:c r="I4" s="105"/>
      <x:c r="J4" s="105"/>
      <x:c r="K4" s="105"/>
      <x:c r="L4" s="105"/>
      <x:c r="M4" s="105"/>
      <x:c r="N4" s="105"/>
      <x:c r="O4" s="105"/>
      <x:c r="P4" s="105"/>
      <x:c r="Q4" s="105"/>
      <x:c r="R4" s="105"/>
      <x:c r="S4" s="105"/>
      <x:c r="T4" s="105"/>
      <x:c r="U4" s="105"/>
    </x:row>
    <x:row r="5">
      <x:c r="A5" s="106" t="str">
        <x:v>Ranks</x:v>
      </x:c>
      <x:c r="B5" s="107" t="str">
        <x:v>Humble → Starter → Growing → Established → Elite → Tycoon.</x:v>
      </x:c>
      <x:c r="C5" s="105"/>
      <x:c r="D5" s="105"/>
      <x:c r="E5" s="105"/>
      <x:c r="F5" s="105"/>
      <x:c r="G5" s="105"/>
      <x:c r="H5" s="105"/>
      <x:c r="I5" s="105"/>
      <x:c r="J5" s="105"/>
      <x:c r="K5" s="105"/>
      <x:c r="L5" s="105"/>
      <x:c r="M5" s="105"/>
      <x:c r="N5" s="105"/>
      <x:c r="O5" s="105"/>
      <x:c r="P5" s="105"/>
      <x:c r="Q5" s="105"/>
      <x:c r="R5" s="105"/>
      <x:c r="S5" s="105"/>
      <x:c r="T5" s="105"/>
      <x:c r="U5" s="105"/>
    </x:row>
    <x:row r="6">
      <x:c r="A6" s="106" t="str">
        <x:v>35-hex milestone</x:v>
      </x:c>
      <x:c r="B6" s="107" t="str">
        <x:v>Full land-capacity eligibility is reached at Empire Level 12, the end of Growing.</x:v>
      </x:c>
      <x:c r="C6" s="105"/>
      <x:c r="D6" s="105"/>
      <x:c r="E6" s="105"/>
      <x:c r="F6" s="105"/>
      <x:c r="G6" s="105"/>
      <x:c r="H6" s="105"/>
      <x:c r="I6" s="105"/>
      <x:c r="J6" s="105"/>
      <x:c r="K6" s="105"/>
      <x:c r="L6" s="105"/>
      <x:c r="M6" s="105"/>
      <x:c r="N6" s="105"/>
      <x:c r="O6" s="105"/>
      <x:c r="P6" s="105"/>
      <x:c r="Q6" s="105"/>
      <x:c r="R6" s="105"/>
      <x:c r="S6" s="105"/>
      <x:c r="T6" s="105"/>
      <x:c r="U6" s="105"/>
    </x:row>
    <x:row r="7">
      <x:c r="A7" s="106" t="str">
        <x:v>Starter land</x:v>
      </x:c>
      <x:c r="B7" s="107" t="str">
        <x:v>Parcels 2–6 are granted as tutorial/frontier deeds instead of purchased.</x:v>
      </x:c>
      <x:c r="C7" s="105"/>
      <x:c r="D7" s="105"/>
      <x:c r="E7" s="105"/>
      <x:c r="F7" s="105"/>
      <x:c r="G7" s="105"/>
      <x:c r="H7" s="105"/>
      <x:c r="I7" s="105"/>
      <x:c r="J7" s="105"/>
      <x:c r="K7" s="105"/>
      <x:c r="L7" s="105"/>
      <x:c r="M7" s="105"/>
      <x:c r="N7" s="105"/>
      <x:c r="O7" s="105"/>
      <x:c r="P7" s="105"/>
      <x:c r="Q7" s="105"/>
      <x:c r="R7" s="105"/>
      <x:c r="S7" s="105"/>
      <x:c r="T7" s="105"/>
      <x:c r="U7" s="105"/>
    </x:row>
    <x:row r="8">
      <x:c r="A8" s="106" t="str">
        <x:v>Paid land</x:v>
      </x:c>
      <x:c r="B8" s="107" t="str">
        <x:v>Parcel 7 onward is priced from expected net Cash/day × target time-to-afford × location multiplier.</x:v>
      </x:c>
      <x:c r="C8" s="105"/>
      <x:c r="D8" s="105"/>
      <x:c r="E8" s="105"/>
      <x:c r="F8" s="105"/>
      <x:c r="G8" s="105"/>
      <x:c r="H8" s="105"/>
      <x:c r="I8" s="105"/>
      <x:c r="J8" s="105"/>
      <x:c r="K8" s="105"/>
      <x:c r="L8" s="105"/>
      <x:c r="M8" s="105"/>
      <x:c r="N8" s="105"/>
      <x:c r="O8" s="105"/>
      <x:c r="P8" s="105"/>
      <x:c r="Q8" s="105"/>
      <x:c r="R8" s="105"/>
      <x:c r="S8" s="105"/>
      <x:c r="T8" s="105"/>
      <x:c r="U8" s="105"/>
    </x:row>
    <x:row r="9">
      <x:c r="A9" s="106" t="str">
        <x:v>Hex mechanics</x:v>
      </x:c>
      <x:c r="B9" s="107" t="str">
        <x:v>Attributes map into acquisition, customer mix, efficiency and risk/retention mechanics.</x:v>
      </x:c>
      <x:c r="C9" s="105"/>
      <x:c r="D9" s="105"/>
      <x:c r="E9" s="105"/>
      <x:c r="F9" s="105"/>
      <x:c r="G9" s="105"/>
      <x:c r="H9" s="105"/>
      <x:c r="I9" s="105"/>
      <x:c r="J9" s="105"/>
      <x:c r="K9" s="105"/>
      <x:c r="L9" s="105"/>
      <x:c r="M9" s="105"/>
      <x:c r="N9" s="105"/>
      <x:c r="O9" s="105"/>
      <x:c r="P9" s="105"/>
      <x:c r="Q9" s="105"/>
      <x:c r="R9" s="105"/>
      <x:c r="S9" s="105"/>
      <x:c r="T9" s="105"/>
      <x:c r="U9" s="105"/>
    </x:row>
    <x:row r="10">
      <x:c r="A10" s="106" t="str">
        <x:v>IDs</x:v>
      </x:c>
      <x:c r="B10" s="107" t="str">
        <x:v>A/B/C/D parcel IDs reflect stable topology rings, never economic ranking.</x:v>
      </x:c>
      <x:c r="C10" s="105"/>
      <x:c r="D10" s="105"/>
      <x:c r="E10" s="105"/>
      <x:c r="F10" s="105"/>
      <x:c r="G10" s="105"/>
      <x:c r="H10" s="105"/>
      <x:c r="I10" s="105"/>
      <x:c r="J10" s="105"/>
      <x:c r="K10" s="105"/>
      <x:c r="L10" s="105"/>
      <x:c r="M10" s="105"/>
      <x:c r="N10" s="105"/>
      <x:c r="O10" s="105"/>
      <x:c r="P10" s="105"/>
      <x:c r="Q10" s="105"/>
      <x:c r="R10" s="105"/>
      <x:c r="S10" s="105"/>
      <x:c r="T10" s="105"/>
      <x:c r="U10" s="105"/>
    </x:row>
    <x:row r="11">
      <x:c r="A11" s="105"/>
      <x:c r="B11" s="105"/>
      <x:c r="C11" s="105"/>
      <x:c r="D11" s="105"/>
      <x:c r="E11" s="105"/>
      <x:c r="F11" s="105"/>
      <x:c r="G11" s="105"/>
      <x:c r="H11" s="105"/>
      <x:c r="I11" s="105"/>
      <x:c r="J11" s="105"/>
      <x:c r="K11" s="105"/>
      <x:c r="L11" s="105"/>
      <x:c r="M11" s="105"/>
      <x:c r="N11" s="105"/>
      <x:c r="O11" s="105"/>
      <x:c r="P11" s="105"/>
      <x:c r="Q11" s="105"/>
      <x:c r="R11" s="105"/>
      <x:c r="S11" s="105"/>
      <x:c r="T11" s="105"/>
      <x:c r="U11" s="105"/>
    </x:row>
    <x:row r="12">
      <x:c r="A12" s="108" t="str">
        <x:v>Dashboard KPIs</x:v>
      </x:c>
      <x:c r="B12" s="108"/>
      <x:c r="C12" s="108"/>
      <x:c r="D12" s="108"/>
      <x:c r="E12" s="108"/>
      <x:c r="F12" s="108"/>
      <x:c r="G12" s="108"/>
      <x:c r="H12" s="108"/>
      <x:c r="I12" s="108"/>
      <x:c r="J12" s="108"/>
      <x:c r="K12" s="105"/>
      <x:c r="L12" s="105"/>
      <x:c r="M12" s="105"/>
      <x:c r="N12" s="105"/>
      <x:c r="O12" s="105"/>
      <x:c r="P12" s="105"/>
      <x:c r="Q12" s="105"/>
      <x:c r="R12" s="105"/>
      <x:c r="S12" s="105"/>
      <x:c r="T12" s="105"/>
      <x:c r="U12" s="105"/>
    </x:row>
    <x:row r="13">
      <x:c r="A13" s="105"/>
      <x:c r="B13" s="105"/>
      <x:c r="C13" s="105"/>
      <x:c r="D13" s="105"/>
      <x:c r="E13" s="105"/>
      <x:c r="F13" s="105"/>
      <x:c r="G13" s="105"/>
      <x:c r="H13" s="105"/>
      <x:c r="I13" s="105"/>
      <x:c r="J13" s="105"/>
      <x:c r="K13" s="105"/>
      <x:c r="L13" s="105"/>
      <x:c r="M13" s="105"/>
      <x:c r="N13" s="105"/>
      <x:c r="O13" s="105"/>
      <x:c r="P13" s="105"/>
      <x:c r="Q13" s="105"/>
      <x:c r="R13" s="105"/>
      <x:c r="S13" s="105"/>
      <x:c r="T13" s="105"/>
      <x:c r="U13" s="105"/>
    </x:row>
    <x:row r="14">
      <x:c r="A14" s="109" t="str">
        <x:v>Humble ending net Cash/day</x:v>
      </x:c>
      <x:c r="B14" s="110" t="n">
        <x:f>'Cash Flow Model'!H5</x:f>
        <x:v>549.1800000000001</x:v>
      </x:c>
      <x:c r="C14" s="105"/>
      <x:c r="D14" s="105"/>
      <x:c r="E14" s="105"/>
      <x:c r="F14" s="105"/>
      <x:c r="G14" s="105"/>
      <x:c r="H14" s="105"/>
      <x:c r="I14" s="105"/>
      <x:c r="J14" s="105"/>
      <x:c r="K14" s="105"/>
      <x:c r="L14" s="105"/>
      <x:c r="M14" s="105"/>
      <x:c r="N14" s="105"/>
      <x:c r="O14" s="105"/>
      <x:c r="P14" s="105"/>
      <x:c r="Q14" s="105"/>
      <x:c r="R14" s="105"/>
      <x:c r="S14" s="105"/>
      <x:c r="T14" s="105"/>
      <x:c r="U14" s="105"/>
    </x:row>
    <x:row r="15">
      <x:c r="A15" s="109" t="str">
        <x:v>Starter ending net Cash/day</x:v>
      </x:c>
      <x:c r="B15" s="110" t="n">
        <x:f>'Cash Flow Model'!H9</x:f>
        <x:v>3739.7700000000004</x:v>
      </x:c>
      <x:c r="C15" s="105"/>
      <x:c r="D15" s="105"/>
      <x:c r="E15" s="105"/>
      <x:c r="F15" s="105"/>
      <x:c r="G15" s="105"/>
      <x:c r="H15" s="105"/>
      <x:c r="I15" s="105"/>
      <x:c r="J15" s="105"/>
      <x:c r="K15" s="105"/>
      <x:c r="L15" s="105"/>
      <x:c r="M15" s="105"/>
      <x:c r="N15" s="105"/>
      <x:c r="O15" s="105"/>
      <x:c r="P15" s="105"/>
      <x:c r="Q15" s="105"/>
      <x:c r="R15" s="105"/>
      <x:c r="S15" s="105"/>
      <x:c r="T15" s="105"/>
      <x:c r="U15" s="105"/>
    </x:row>
    <x:row r="16">
      <x:c r="A16" s="109" t="str">
        <x:v>Growing ending net Cash/day</x:v>
      </x:c>
      <x:c r="B16" s="110" t="n">
        <x:f>'Cash Flow Model'!H13</x:f>
        <x:v>16376.85</x:v>
      </x:c>
      <x:c r="C16" s="105"/>
      <x:c r="D16" s="105"/>
      <x:c r="E16" s="105"/>
      <x:c r="F16" s="105"/>
      <x:c r="G16" s="105"/>
      <x:c r="H16" s="105"/>
      <x:c r="I16" s="105"/>
      <x:c r="J16" s="105"/>
      <x:c r="K16" s="105"/>
      <x:c r="L16" s="105"/>
      <x:c r="M16" s="105"/>
      <x:c r="N16" s="105"/>
      <x:c r="O16" s="105"/>
      <x:c r="P16" s="105"/>
      <x:c r="Q16" s="105"/>
      <x:c r="R16" s="105"/>
      <x:c r="S16" s="105"/>
      <x:c r="T16" s="105"/>
      <x:c r="U16" s="105"/>
    </x:row>
    <x:row r="17">
      <x:c r="A17" s="109" t="str">
        <x:v>Highest paid parcel price</x:v>
      </x:c>
      <x:c r="B17" s="110" t="n">
        <x:f>MAX('Land Price Model'!L2:L36)</x:f>
        <x:v>247800</x:v>
      </x:c>
      <x:c r="C17" s="105"/>
      <x:c r="D17" s="105"/>
      <x:c r="E17" s="105"/>
      <x:c r="F17" s="105"/>
      <x:c r="G17" s="105"/>
      <x:c r="H17" s="105"/>
      <x:c r="I17" s="105"/>
      <x:c r="J17" s="105"/>
      <x:c r="K17" s="105"/>
      <x:c r="L17" s="105"/>
      <x:c r="M17" s="105"/>
      <x:c r="N17" s="105"/>
      <x:c r="O17" s="105"/>
      <x:c r="P17" s="105"/>
      <x:c r="Q17" s="105"/>
      <x:c r="R17" s="105"/>
      <x:c r="S17" s="105"/>
      <x:c r="T17" s="105"/>
      <x:c r="U17" s="105"/>
    </x:row>
    <x:row r="18">
      <x:c r="A18" s="109" t="str">
        <x:v>Longest modeled time-to-afford</x:v>
      </x:c>
      <x:c r="B18" s="111" t="n">
        <x:f>MAX('Land Price Model'!M2:M36)</x:f>
        <x:v>21.615878511435348</x:v>
      </x:c>
      <x:c r="C18" s="105"/>
      <x:c r="D18" s="105"/>
      <x:c r="E18" s="105"/>
      <x:c r="F18" s="105"/>
      <x:c r="G18" s="105"/>
      <x:c r="H18" s="105"/>
      <x:c r="I18" s="105"/>
      <x:c r="J18" s="105"/>
      <x:c r="K18" s="105"/>
      <x:c r="L18" s="105"/>
      <x:c r="M18" s="105"/>
      <x:c r="N18" s="105"/>
      <x:c r="O18" s="105"/>
      <x:c r="P18" s="105"/>
      <x:c r="Q18" s="105"/>
      <x:c r="R18" s="105"/>
      <x:c r="S18" s="105"/>
      <x:c r="T18" s="105"/>
      <x:c r="U18" s="105"/>
    </x:row>
    <x:row r="19">
      <x:c r="A19" s="109" t="str">
        <x:v>Average land value index</x:v>
      </x:c>
      <x:c r="B19" s="111" t="n">
        <x:f>AVERAGE('Hex Balance'!N2:N36)</x:f>
        <x:v>67.46000000000001</x:v>
      </x:c>
      <x:c r="C19" s="105"/>
      <x:c r="D19" s="105"/>
      <x:c r="E19" s="105"/>
      <x:c r="F19" s="105"/>
      <x:c r="G19" s="105"/>
      <x:c r="H19" s="105"/>
      <x:c r="I19" s="105"/>
      <x:c r="J19" s="105"/>
      <x:c r="K19" s="105"/>
      <x:c r="L19" s="105"/>
      <x:c r="M19" s="105"/>
      <x:c r="N19" s="105"/>
      <x:c r="O19" s="105"/>
      <x:c r="P19" s="105"/>
      <x:c r="Q19" s="105"/>
      <x:c r="R19" s="105"/>
      <x:c r="S19" s="105"/>
      <x:c r="T19" s="105"/>
      <x:c r="U19" s="105"/>
    </x:row>
    <x:row r="20">
      <x:c r="A20" s="105"/>
      <x:c r="B20" s="105"/>
      <x:c r="C20" s="105"/>
      <x:c r="D20" s="105"/>
      <x:c r="E20" s="105"/>
      <x:c r="F20" s="105"/>
      <x:c r="G20" s="105"/>
      <x:c r="H20" s="105"/>
      <x:c r="I20" s="105"/>
      <x:c r="J20" s="105"/>
      <x:c r="K20" s="105"/>
      <x:c r="L20" s="105"/>
      <x:c r="M20" s="105"/>
      <x:c r="N20" s="105"/>
      <x:c r="O20" s="105"/>
      <x:c r="P20" s="105"/>
      <x:c r="Q20" s="105"/>
      <x:c r="R20" s="105"/>
      <x:c r="S20" s="105"/>
      <x:c r="T20" s="105"/>
      <x:c r="U20" s="105"/>
    </x:row>
    <x:row r="21">
      <x:c r="A21" s="105"/>
      <x:c r="B21" s="105"/>
      <x:c r="C21" s="105"/>
      <x:c r="D21" s="105"/>
      <x:c r="E21" s="105"/>
      <x:c r="F21" s="105"/>
      <x:c r="G21" s="105"/>
      <x:c r="H21" s="105"/>
      <x:c r="I21" s="105"/>
      <x:c r="J21" s="105"/>
      <x:c r="K21" s="105"/>
      <x:c r="L21" s="105"/>
      <x:c r="M21" s="105"/>
      <x:c r="N21" s="105"/>
      <x:c r="O21" s="105"/>
      <x:c r="P21" s="105"/>
      <x:c r="Q21" s="105"/>
      <x:c r="R21" s="105"/>
      <x:c r="S21" s="105"/>
      <x:c r="T21" s="105"/>
      <x:c r="U21" s="105"/>
    </x:row>
    <x:row r="22">
      <x:c r="A22" s="105"/>
      <x:c r="B22" s="105"/>
      <x:c r="C22" s="105"/>
      <x:c r="D22" s="105"/>
      <x:c r="E22" s="105"/>
      <x:c r="F22" s="105"/>
      <x:c r="G22" s="105"/>
      <x:c r="H22" s="105"/>
      <x:c r="I22" s="105"/>
      <x:c r="J22" s="105"/>
      <x:c r="K22" s="105"/>
      <x:c r="L22" s="105"/>
      <x:c r="M22" s="105"/>
      <x:c r="N22" s="105"/>
      <x:c r="O22" s="105"/>
      <x:c r="P22" s="105"/>
      <x:c r="Q22" s="105"/>
      <x:c r="R22" s="105"/>
      <x:c r="S22" s="105"/>
      <x:c r="T22" s="105"/>
      <x:c r="U22" s="105"/>
    </x:row>
    <x:row r="23">
      <x:c r="A23" s="105"/>
      <x:c r="B23" s="105"/>
      <x:c r="C23" s="105"/>
      <x:c r="D23" s="105"/>
      <x:c r="E23" s="105"/>
      <x:c r="F23" s="105"/>
      <x:c r="G23" s="105"/>
      <x:c r="H23" s="105"/>
      <x:c r="I23" s="105"/>
      <x:c r="J23" s="105"/>
      <x:c r="K23" s="105"/>
      <x:c r="L23" s="105"/>
      <x:c r="M23" s="105"/>
      <x:c r="N23" s="105"/>
      <x:c r="O23" s="105"/>
      <x:c r="P23" s="105"/>
      <x:c r="Q23" s="105"/>
      <x:c r="R23" s="105"/>
      <x:c r="S23" s="105"/>
      <x:c r="T23" s="105"/>
      <x:c r="U23" s="105"/>
    </x:row>
    <x:row r="24">
      <x:c r="A24" s="105"/>
      <x:c r="B24" s="105"/>
      <x:c r="C24" s="105"/>
      <x:c r="D24" s="105"/>
      <x:c r="E24" s="105"/>
      <x:c r="F24" s="105"/>
      <x:c r="G24" s="105"/>
      <x:c r="H24" s="105"/>
      <x:c r="I24" s="105"/>
      <x:c r="J24" s="105"/>
      <x:c r="K24" s="105"/>
      <x:c r="L24" s="105"/>
      <x:c r="M24" s="105"/>
      <x:c r="N24" s="105"/>
      <x:c r="O24" s="105"/>
      <x:c r="P24" s="105"/>
      <x:c r="Q24" s="105"/>
      <x:c r="R24" s="105"/>
      <x:c r="S24" s="105"/>
      <x:c r="T24" s="105"/>
      <x:c r="U24" s="105"/>
    </x:row>
    <x:row r="25">
      <x:c r="A25" s="105"/>
      <x:c r="B25" s="105"/>
      <x:c r="C25" s="105"/>
      <x:c r="D25" s="105"/>
      <x:c r="E25" s="105"/>
      <x:c r="F25" s="105"/>
      <x:c r="G25" s="105"/>
      <x:c r="H25" s="105"/>
      <x:c r="I25" s="105"/>
      <x:c r="J25" s="105"/>
      <x:c r="K25" s="105"/>
      <x:c r="L25" s="105"/>
      <x:c r="M25" s="105"/>
      <x:c r="N25" s="105"/>
      <x:c r="O25" s="105"/>
      <x:c r="P25" s="105"/>
      <x:c r="Q25" s="105"/>
      <x:c r="R25" s="105"/>
      <x:c r="S25" s="105"/>
      <x:c r="T25" s="105"/>
      <x:c r="U25" s="105"/>
    </x:row>
    <x:row r="26">
      <x:c r="A26" s="105"/>
      <x:c r="B26" s="105"/>
      <x:c r="C26" s="105"/>
      <x:c r="D26" s="105"/>
      <x:c r="E26" s="105"/>
      <x:c r="F26" s="105"/>
      <x:c r="G26" s="105"/>
      <x:c r="H26" s="105"/>
      <x:c r="I26" s="105"/>
      <x:c r="J26" s="105"/>
      <x:c r="K26" s="105"/>
      <x:c r="L26" s="105"/>
      <x:c r="M26" s="105"/>
      <x:c r="N26" s="105"/>
      <x:c r="O26" s="105"/>
      <x:c r="P26" s="105"/>
      <x:c r="Q26" s="105"/>
      <x:c r="R26" s="105"/>
      <x:c r="S26" s="105"/>
      <x:c r="T26" s="105"/>
      <x:c r="U26" s="105"/>
    </x:row>
    <x:row r="27">
      <x:c r="A27" s="105"/>
      <x:c r="B27" s="105"/>
      <x:c r="C27" s="105"/>
      <x:c r="D27" s="105"/>
      <x:c r="E27" s="105"/>
      <x:c r="F27" s="105"/>
      <x:c r="G27" s="105"/>
      <x:c r="H27" s="105"/>
      <x:c r="I27" s="105"/>
      <x:c r="J27" s="105"/>
      <x:c r="K27" s="105"/>
      <x:c r="L27" s="105"/>
      <x:c r="M27" s="105"/>
      <x:c r="N27" s="105"/>
      <x:c r="O27" s="105"/>
      <x:c r="P27" s="105"/>
      <x:c r="Q27" s="105"/>
      <x:c r="R27" s="105"/>
      <x:c r="S27" s="105"/>
      <x:c r="T27" s="105"/>
      <x:c r="U27" s="105"/>
    </x:row>
    <x:row r="28">
      <x:c r="A28" s="105"/>
      <x:c r="B28" s="105"/>
      <x:c r="C28" s="105"/>
      <x:c r="D28" s="105"/>
      <x:c r="E28" s="105"/>
      <x:c r="F28" s="105"/>
      <x:c r="G28" s="105"/>
      <x:c r="H28" s="105"/>
      <x:c r="I28" s="105"/>
      <x:c r="J28" s="105"/>
      <x:c r="K28" s="105"/>
      <x:c r="L28" s="105"/>
      <x:c r="M28" s="105"/>
      <x:c r="N28" s="105"/>
      <x:c r="O28" s="105"/>
      <x:c r="P28" s="105"/>
      <x:c r="Q28" s="105"/>
      <x:c r="R28" s="105"/>
      <x:c r="S28" s="105"/>
      <x:c r="T28" s="105"/>
      <x:c r="U28" s="105"/>
    </x:row>
    <x:row r="29">
      <x:c r="A29" s="105"/>
      <x:c r="B29" s="105"/>
      <x:c r="C29" s="105"/>
      <x:c r="D29" s="105"/>
      <x:c r="E29" s="105"/>
      <x:c r="F29" s="105"/>
      <x:c r="G29" s="105"/>
      <x:c r="H29" s="105"/>
      <x:c r="I29" s="105"/>
      <x:c r="J29" s="105"/>
      <x:c r="K29" s="105"/>
      <x:c r="L29" s="105"/>
      <x:c r="M29" s="105"/>
      <x:c r="N29" s="105"/>
      <x:c r="O29" s="105"/>
      <x:c r="P29" s="105"/>
      <x:c r="Q29" s="105"/>
      <x:c r="R29" s="105"/>
      <x:c r="S29" s="105"/>
      <x:c r="T29" s="105"/>
      <x:c r="U29" s="105"/>
    </x:row>
    <x:row r="30">
      <x:c r="A30" s="105"/>
      <x:c r="B30" s="105"/>
      <x:c r="C30" s="105"/>
      <x:c r="D30" s="105"/>
      <x:c r="E30" s="105"/>
      <x:c r="F30" s="105"/>
      <x:c r="G30" s="105"/>
      <x:c r="H30" s="105"/>
      <x:c r="I30" s="105"/>
      <x:c r="J30" s="105"/>
      <x:c r="K30" s="105"/>
      <x:c r="L30" s="105"/>
      <x:c r="M30" s="105"/>
      <x:c r="N30" s="105"/>
      <x:c r="O30" s="105"/>
      <x:c r="P30" s="105"/>
      <x:c r="Q30" s="105"/>
      <x:c r="R30" s="105"/>
      <x:c r="S30" s="105"/>
      <x:c r="T30" s="105"/>
      <x:c r="U30" s="105"/>
    </x:row>
    <x:row r="31">
      <x:c r="A31" s="105"/>
      <x:c r="B31" s="105"/>
      <x:c r="C31" s="105"/>
      <x:c r="D31" s="105"/>
      <x:c r="E31" s="105"/>
      <x:c r="F31" s="105"/>
      <x:c r="G31" s="105"/>
      <x:c r="H31" s="105"/>
      <x:c r="I31" s="105"/>
      <x:c r="J31" s="105"/>
      <x:c r="K31" s="105"/>
      <x:c r="L31" s="105"/>
      <x:c r="M31" s="105"/>
      <x:c r="N31" s="105"/>
      <x:c r="O31" s="105"/>
      <x:c r="P31" s="105"/>
      <x:c r="Q31" s="105"/>
      <x:c r="R31" s="105"/>
      <x:c r="S31" s="105"/>
      <x:c r="T31" s="105"/>
      <x:c r="U31" s="105"/>
    </x:row>
    <x:row r="32">
      <x:c r="A32" s="105"/>
      <x:c r="B32" s="105"/>
      <x:c r="C32" s="105"/>
      <x:c r="D32" s="105"/>
      <x:c r="E32" s="105"/>
      <x:c r="F32" s="105"/>
      <x:c r="G32" s="105"/>
      <x:c r="H32" s="105"/>
      <x:c r="I32" s="105"/>
      <x:c r="J32" s="105"/>
      <x:c r="K32" s="105"/>
      <x:c r="L32" s="105"/>
      <x:c r="M32" s="105"/>
      <x:c r="N32" s="105"/>
      <x:c r="O32" s="105"/>
      <x:c r="P32" s="105"/>
      <x:c r="Q32" s="105"/>
      <x:c r="R32" s="105"/>
      <x:c r="S32" s="105"/>
      <x:c r="T32" s="105"/>
      <x:c r="U32" s="105"/>
    </x:row>
    <x:row r="33">
      <x:c r="A33" s="105"/>
      <x:c r="B33" s="105"/>
      <x:c r="C33" s="105"/>
      <x:c r="D33" s="105"/>
      <x:c r="E33" s="105"/>
      <x:c r="F33" s="105"/>
      <x:c r="G33" s="105"/>
      <x:c r="H33" s="105"/>
      <x:c r="I33" s="105"/>
      <x:c r="J33" s="105"/>
      <x:c r="K33" s="105"/>
      <x:c r="L33" s="105"/>
      <x:c r="M33" s="105"/>
      <x:c r="N33" s="105"/>
      <x:c r="O33" s="105"/>
      <x:c r="P33" s="105"/>
      <x:c r="Q33" s="105"/>
      <x:c r="R33" s="105"/>
      <x:c r="S33" s="105"/>
      <x:c r="T33" s="105"/>
      <x:c r="U33" s="105"/>
    </x:row>
    <x:row r="34">
      <x:c r="A34" s="105"/>
      <x:c r="B34" s="105"/>
      <x:c r="C34" s="105"/>
      <x:c r="D34" s="105"/>
      <x:c r="E34" s="105"/>
      <x:c r="F34" s="105"/>
      <x:c r="G34" s="105"/>
      <x:c r="H34" s="105"/>
      <x:c r="I34" s="105"/>
      <x:c r="J34" s="105"/>
      <x:c r="K34" s="105"/>
      <x:c r="L34" s="105"/>
      <x:c r="M34" s="105"/>
      <x:c r="N34" s="105"/>
      <x:c r="O34" s="105"/>
      <x:c r="P34" s="105"/>
      <x:c r="Q34" s="105"/>
      <x:c r="R34" s="105"/>
      <x:c r="S34" s="105"/>
      <x:c r="T34" s="105"/>
      <x:c r="U34" s="105"/>
    </x:row>
    <x:row r="35">
      <x:c r="A35" s="105"/>
      <x:c r="B35" s="105"/>
      <x:c r="C35" s="105"/>
      <x:c r="D35" s="105"/>
      <x:c r="E35" s="105"/>
      <x:c r="F35" s="105"/>
      <x:c r="G35" s="105"/>
      <x:c r="H35" s="105"/>
      <x:c r="I35" s="105"/>
      <x:c r="J35" s="105"/>
      <x:c r="K35" s="105"/>
      <x:c r="L35" s="105"/>
      <x:c r="M35" s="105"/>
      <x:c r="N35" s="105"/>
      <x:c r="O35" s="105"/>
      <x:c r="P35" s="105"/>
      <x:c r="Q35" s="105"/>
      <x:c r="R35" s="105"/>
      <x:c r="S35" s="105"/>
      <x:c r="T35" s="105"/>
      <x:c r="U35" s="105"/>
    </x:row>
    <x:row r="36">
      <x:c r="A36" s="105"/>
      <x:c r="B36" s="105"/>
      <x:c r="C36" s="105"/>
      <x:c r="D36" s="105"/>
      <x:c r="E36" s="105"/>
      <x:c r="F36" s="105"/>
      <x:c r="G36" s="105"/>
      <x:c r="H36" s="105"/>
      <x:c r="I36" s="105"/>
      <x:c r="J36" s="105"/>
      <x:c r="K36" s="105"/>
      <x:c r="L36" s="105"/>
      <x:c r="M36" s="105"/>
      <x:c r="N36" s="105"/>
      <x:c r="O36" s="105"/>
      <x:c r="P36" s="105"/>
      <x:c r="Q36" s="105"/>
      <x:c r="R36" s="105"/>
      <x:c r="S36" s="105"/>
      <x:c r="T36" s="105"/>
      <x:c r="U36" s="105"/>
    </x:row>
    <x:row r="37">
      <x:c r="A37" s="105"/>
      <x:c r="B37" s="105"/>
      <x:c r="C37" s="105"/>
      <x:c r="D37" s="105"/>
      <x:c r="E37" s="105"/>
      <x:c r="F37" s="105"/>
      <x:c r="G37" s="105"/>
      <x:c r="H37" s="105"/>
      <x:c r="I37" s="105"/>
      <x:c r="J37" s="105"/>
      <x:c r="K37" s="105"/>
      <x:c r="L37" s="105"/>
      <x:c r="M37" s="105"/>
      <x:c r="N37" s="105"/>
      <x:c r="O37" s="105"/>
      <x:c r="P37" s="105"/>
      <x:c r="Q37" s="105"/>
      <x:c r="R37" s="105"/>
      <x:c r="S37" s="105"/>
      <x:c r="T37" s="105"/>
      <x:c r="U37" s="105"/>
    </x:row>
    <x:row r="38">
      <x:c r="A38" s="105"/>
      <x:c r="B38" s="105"/>
      <x:c r="C38" s="105"/>
      <x:c r="D38" s="105"/>
      <x:c r="E38" s="105"/>
      <x:c r="F38" s="105"/>
      <x:c r="G38" s="105"/>
      <x:c r="H38" s="105"/>
      <x:c r="I38" s="105"/>
      <x:c r="J38" s="105"/>
      <x:c r="K38" s="105"/>
      <x:c r="L38" s="105"/>
      <x:c r="M38" s="105"/>
      <x:c r="N38" s="105"/>
      <x:c r="O38" s="105"/>
      <x:c r="P38" s="105"/>
      <x:c r="Q38" s="105"/>
      <x:c r="R38" s="105"/>
      <x:c r="S38" s="105"/>
      <x:c r="T38" s="105"/>
      <x:c r="U38" s="105"/>
    </x:row>
    <x:row r="39">
      <x:c r="A39" s="105"/>
      <x:c r="B39" s="105"/>
      <x:c r="C39" s="105"/>
      <x:c r="D39" s="105"/>
      <x:c r="E39" s="105"/>
      <x:c r="F39" s="105"/>
      <x:c r="G39" s="105"/>
      <x:c r="H39" s="105"/>
      <x:c r="I39" s="105"/>
      <x:c r="J39" s="105"/>
      <x:c r="K39" s="105"/>
      <x:c r="L39" s="105"/>
      <x:c r="M39" s="105"/>
      <x:c r="N39" s="105"/>
      <x:c r="O39" s="105"/>
      <x:c r="P39" s="105"/>
      <x:c r="Q39" s="105"/>
      <x:c r="R39" s="105"/>
      <x:c r="S39" s="105"/>
      <x:c r="T39" s="105"/>
      <x:c r="U39" s="105"/>
    </x:row>
    <x:row r="40">
      <x:c r="A40" s="105"/>
      <x:c r="B40" s="105"/>
      <x:c r="C40" s="105"/>
      <x:c r="D40" s="105"/>
      <x:c r="E40" s="105"/>
      <x:c r="F40" s="105"/>
      <x:c r="G40" s="105"/>
      <x:c r="H40" s="105"/>
      <x:c r="I40" s="105"/>
      <x:c r="J40" s="105"/>
      <x:c r="K40" s="105"/>
      <x:c r="L40" s="105"/>
      <x:c r="M40" s="105"/>
      <x:c r="N40" s="105"/>
      <x:c r="O40" s="105"/>
      <x:c r="P40" s="105"/>
      <x:c r="Q40" s="105"/>
      <x:c r="R40" s="105"/>
      <x:c r="S40" s="105"/>
      <x:c r="T40" s="105"/>
      <x:c r="U40" s="105"/>
    </x:row>
    <x:row r="41">
      <x:c r="A41" s="105"/>
      <x:c r="B41" s="105"/>
      <x:c r="C41" s="105"/>
      <x:c r="D41" s="105"/>
      <x:c r="E41" s="105"/>
      <x:c r="F41" s="105"/>
      <x:c r="G41" s="105"/>
      <x:c r="H41" s="105"/>
      <x:c r="I41" s="105"/>
      <x:c r="J41" s="105"/>
      <x:c r="K41" s="105"/>
      <x:c r="L41" s="105"/>
      <x:c r="M41" s="105"/>
      <x:c r="N41" s="105"/>
      <x:c r="O41" s="105"/>
      <x:c r="P41" s="105"/>
      <x:c r="Q41" s="105"/>
      <x:c r="R41" s="105"/>
      <x:c r="S41" s="105"/>
      <x:c r="T41" s="105"/>
      <x:c r="U41" s="105"/>
    </x:row>
    <x:row r="42">
      <x:c r="A42" s="105"/>
      <x:c r="B42" s="105"/>
      <x:c r="C42" s="105"/>
      <x:c r="D42" s="105"/>
      <x:c r="E42" s="105"/>
      <x:c r="F42" s="105"/>
      <x:c r="G42" s="105"/>
      <x:c r="H42" s="105"/>
      <x:c r="I42" s="105"/>
      <x:c r="J42" s="105"/>
      <x:c r="K42" s="105"/>
      <x:c r="L42" s="105"/>
      <x:c r="M42" s="105"/>
      <x:c r="N42" s="105"/>
      <x:c r="O42" s="105"/>
      <x:c r="P42" s="105"/>
      <x:c r="Q42" s="105"/>
      <x:c r="R42" s="105"/>
      <x:c r="S42" s="105"/>
      <x:c r="T42" s="105"/>
      <x:c r="U42" s="105"/>
    </x:row>
    <x:row r="43">
      <x:c r="A43" s="105"/>
      <x:c r="B43" s="105"/>
      <x:c r="C43" s="105"/>
      <x:c r="D43" s="105"/>
      <x:c r="E43" s="105"/>
      <x:c r="F43" s="105"/>
      <x:c r="G43" s="105"/>
      <x:c r="H43" s="105"/>
      <x:c r="I43" s="105"/>
      <x:c r="J43" s="105"/>
      <x:c r="K43" s="105"/>
      <x:c r="L43" s="105"/>
      <x:c r="M43" s="105"/>
      <x:c r="N43" s="105"/>
      <x:c r="O43" s="105"/>
      <x:c r="P43" s="105"/>
      <x:c r="Q43" s="105"/>
      <x:c r="R43" s="105"/>
      <x:c r="S43" s="105"/>
      <x:c r="T43" s="105"/>
      <x:c r="U43" s="105"/>
    </x:row>
    <x:row r="44">
      <x:c r="A44" s="105"/>
      <x:c r="B44" s="105"/>
      <x:c r="C44" s="105"/>
      <x:c r="D44" s="105"/>
      <x:c r="E44" s="105"/>
      <x:c r="F44" s="105"/>
      <x:c r="G44" s="105"/>
      <x:c r="H44" s="105"/>
      <x:c r="I44" s="105"/>
      <x:c r="J44" s="105"/>
      <x:c r="K44" s="105"/>
      <x:c r="L44" s="105"/>
      <x:c r="M44" s="105"/>
      <x:c r="N44" s="105"/>
      <x:c r="O44" s="105"/>
      <x:c r="P44" s="105"/>
      <x:c r="Q44" s="105"/>
      <x:c r="R44" s="105"/>
      <x:c r="S44" s="105"/>
      <x:c r="T44" s="105"/>
      <x:c r="U44" s="105"/>
    </x:row>
    <x:row r="45">
      <x:c r="A45" s="105"/>
      <x:c r="B45" s="105"/>
      <x:c r="C45" s="105"/>
      <x:c r="D45" s="105"/>
      <x:c r="E45" s="105"/>
      <x:c r="F45" s="105"/>
      <x:c r="G45" s="105"/>
      <x:c r="H45" s="105"/>
      <x:c r="I45" s="105"/>
      <x:c r="J45" s="105"/>
      <x:c r="K45" s="105"/>
      <x:c r="L45" s="105"/>
      <x:c r="M45" s="105"/>
      <x:c r="N45" s="105"/>
      <x:c r="O45" s="105"/>
      <x:c r="P45" s="105"/>
      <x:c r="Q45" s="105"/>
      <x:c r="R45" s="105"/>
      <x:c r="S45" s="105"/>
      <x:c r="T45" s="105"/>
      <x:c r="U45" s="105"/>
    </x:row>
    <x:row r="46">
      <x:c r="A46" s="105"/>
      <x:c r="B46" s="105"/>
      <x:c r="C46" s="105"/>
      <x:c r="D46" s="105"/>
      <x:c r="E46" s="105"/>
      <x:c r="F46" s="105"/>
      <x:c r="G46" s="105"/>
      <x:c r="H46" s="105"/>
      <x:c r="I46" s="105"/>
      <x:c r="J46" s="105"/>
      <x:c r="K46" s="105"/>
      <x:c r="L46" s="105"/>
      <x:c r="M46" s="105"/>
      <x:c r="N46" s="105"/>
      <x:c r="O46" s="105"/>
      <x:c r="P46" s="105"/>
      <x:c r="Q46" s="105"/>
      <x:c r="R46" s="105"/>
      <x:c r="S46" s="105"/>
      <x:c r="T46" s="105"/>
      <x:c r="U46" s="105"/>
    </x:row>
    <x:row r="47">
      <x:c r="A47" s="105"/>
      <x:c r="B47" s="105"/>
      <x:c r="C47" s="105"/>
      <x:c r="D47" s="105"/>
      <x:c r="E47" s="105"/>
      <x:c r="F47" s="105"/>
      <x:c r="G47" s="105"/>
      <x:c r="H47" s="105"/>
      <x:c r="I47" s="105"/>
      <x:c r="J47" s="105"/>
      <x:c r="K47" s="105"/>
      <x:c r="L47" s="105"/>
      <x:c r="M47" s="105"/>
      <x:c r="N47" s="105"/>
      <x:c r="O47" s="105"/>
      <x:c r="P47" s="105"/>
      <x:c r="Q47" s="105"/>
      <x:c r="R47" s="105"/>
      <x:c r="S47" s="105"/>
      <x:c r="T47" s="105"/>
      <x:c r="U47" s="105"/>
    </x:row>
    <x:row r="48">
      <x:c r="A48" s="105"/>
      <x:c r="B48" s="105"/>
      <x:c r="C48" s="105"/>
      <x:c r="D48" s="105"/>
      <x:c r="E48" s="105"/>
      <x:c r="F48" s="105"/>
      <x:c r="G48" s="105"/>
      <x:c r="H48" s="105"/>
      <x:c r="I48" s="105"/>
      <x:c r="J48" s="105"/>
      <x:c r="K48" s="105"/>
      <x:c r="L48" s="105"/>
      <x:c r="M48" s="105"/>
      <x:c r="N48" s="105"/>
      <x:c r="O48" s="105"/>
      <x:c r="P48" s="105"/>
      <x:c r="Q48" s="105"/>
      <x:c r="R48" s="105"/>
      <x:c r="S48" s="105"/>
      <x:c r="T48" s="105"/>
      <x:c r="U48" s="105"/>
    </x:row>
    <x:row r="49">
      <x:c r="A49" s="105"/>
      <x:c r="B49" s="105"/>
      <x:c r="C49" s="105"/>
      <x:c r="D49" s="105"/>
      <x:c r="E49" s="105"/>
      <x:c r="F49" s="105"/>
      <x:c r="G49" s="105"/>
      <x:c r="H49" s="105"/>
      <x:c r="I49" s="105"/>
      <x:c r="J49" s="105"/>
      <x:c r="K49" s="105"/>
      <x:c r="L49" s="105"/>
      <x:c r="M49" s="105"/>
      <x:c r="N49" s="105"/>
      <x:c r="O49" s="105"/>
      <x:c r="P49" s="105"/>
      <x:c r="Q49" s="105"/>
      <x:c r="R49" s="105"/>
      <x:c r="S49" s="105"/>
      <x:c r="T49" s="105"/>
      <x:c r="U49" s="105"/>
    </x:row>
    <x:row r="50">
      <x:c r="A50" s="105"/>
      <x:c r="B50" s="105"/>
      <x:c r="C50" s="105"/>
      <x:c r="D50" s="105"/>
      <x:c r="E50" s="105"/>
      <x:c r="F50" s="105"/>
      <x:c r="G50" s="105"/>
      <x:c r="H50" s="105"/>
      <x:c r="I50" s="105"/>
      <x:c r="J50" s="105"/>
      <x:c r="K50" s="105"/>
      <x:c r="L50" s="105"/>
      <x:c r="M50" s="105"/>
      <x:c r="N50" s="105"/>
      <x:c r="O50" s="105"/>
      <x:c r="P50" s="105"/>
      <x:c r="Q50" s="105"/>
      <x:c r="R50" s="105"/>
      <x:c r="S50" s="105"/>
      <x:c r="T50" s="105"/>
      <x:c r="U50" s="105"/>
    </x:row>
    <x:row r="51">
      <x:c r="A51" s="105"/>
      <x:c r="B51" s="105"/>
      <x:c r="C51" s="105"/>
      <x:c r="D51" s="105"/>
      <x:c r="E51" s="105"/>
      <x:c r="F51" s="105"/>
      <x:c r="G51" s="105"/>
      <x:c r="H51" s="105"/>
      <x:c r="I51" s="105"/>
      <x:c r="J51" s="105"/>
      <x:c r="K51" s="105"/>
      <x:c r="L51" s="105"/>
      <x:c r="M51" s="105"/>
      <x:c r="N51" s="105"/>
      <x:c r="O51" s="105"/>
      <x:c r="P51" s="105"/>
      <x:c r="Q51" s="105"/>
      <x:c r="R51" s="105"/>
      <x:c r="S51" s="105"/>
      <x:c r="T51" s="105"/>
      <x:c r="U51" s="105"/>
    </x:row>
    <x:row r="52">
      <x:c r="A52" s="105"/>
      <x:c r="B52" s="105"/>
      <x:c r="C52" s="105"/>
      <x:c r="D52" s="105"/>
      <x:c r="E52" s="105"/>
      <x:c r="F52" s="105"/>
      <x:c r="G52" s="105"/>
      <x:c r="H52" s="105"/>
      <x:c r="I52" s="105"/>
      <x:c r="J52" s="105"/>
      <x:c r="K52" s="105"/>
      <x:c r="L52" s="105"/>
      <x:c r="M52" s="105"/>
      <x:c r="N52" s="105"/>
      <x:c r="O52" s="105"/>
      <x:c r="P52" s="105"/>
      <x:c r="Q52" s="105"/>
      <x:c r="R52" s="105"/>
      <x:c r="S52" s="105"/>
      <x:c r="T52" s="105"/>
      <x:c r="U52" s="105"/>
    </x:row>
    <x:row r="53">
      <x:c r="A53" s="105"/>
      <x:c r="B53" s="105"/>
      <x:c r="C53" s="105"/>
      <x:c r="D53" s="105"/>
      <x:c r="E53" s="105"/>
      <x:c r="F53" s="105"/>
      <x:c r="G53" s="105"/>
      <x:c r="H53" s="105"/>
      <x:c r="I53" s="105"/>
      <x:c r="J53" s="105"/>
      <x:c r="K53" s="105"/>
      <x:c r="L53" s="105"/>
      <x:c r="M53" s="105"/>
      <x:c r="N53" s="105"/>
      <x:c r="O53" s="105"/>
      <x:c r="P53" s="105"/>
      <x:c r="Q53" s="105"/>
      <x:c r="R53" s="105"/>
      <x:c r="S53" s="105"/>
      <x:c r="T53" s="105"/>
      <x:c r="U53" s="105"/>
    </x:row>
    <x:row r="54">
      <x:c r="A54" s="105"/>
      <x:c r="B54" s="105"/>
      <x:c r="C54" s="105"/>
      <x:c r="D54" s="105"/>
      <x:c r="E54" s="105"/>
      <x:c r="F54" s="105"/>
      <x:c r="G54" s="105"/>
      <x:c r="H54" s="105"/>
      <x:c r="I54" s="105"/>
      <x:c r="J54" s="105"/>
      <x:c r="K54" s="105"/>
      <x:c r="L54" s="105"/>
      <x:c r="M54" s="105"/>
      <x:c r="N54" s="105"/>
      <x:c r="O54" s="105"/>
      <x:c r="P54" s="105"/>
      <x:c r="Q54" s="105"/>
      <x:c r="R54" s="105"/>
      <x:c r="S54" s="105"/>
      <x:c r="T54" s="105"/>
      <x:c r="U54" s="105"/>
    </x:row>
    <x:row r="55">
      <x:c r="A55" s="105"/>
      <x:c r="B55" s="105"/>
      <x:c r="C55" s="105"/>
      <x:c r="D55" s="105"/>
      <x:c r="E55" s="105"/>
      <x:c r="F55" s="105"/>
      <x:c r="G55" s="105"/>
      <x:c r="H55" s="105"/>
      <x:c r="I55" s="105"/>
      <x:c r="J55" s="105"/>
      <x:c r="K55" s="105"/>
      <x:c r="L55" s="105"/>
      <x:c r="M55" s="105"/>
      <x:c r="N55" s="105"/>
      <x:c r="O55" s="105"/>
      <x:c r="P55" s="105"/>
      <x:c r="Q55" s="105"/>
      <x:c r="R55" s="105"/>
      <x:c r="S55" s="105"/>
      <x:c r="T55" s="105"/>
      <x:c r="U55" s="105"/>
    </x:row>
    <x:row r="56">
      <x:c r="A56" s="105"/>
      <x:c r="B56" s="105"/>
      <x:c r="C56" s="105"/>
      <x:c r="D56" s="105"/>
      <x:c r="E56" s="105"/>
      <x:c r="F56" s="105"/>
      <x:c r="G56" s="105"/>
      <x:c r="H56" s="105"/>
      <x:c r="I56" s="105"/>
      <x:c r="J56" s="105"/>
      <x:c r="K56" s="105"/>
      <x:c r="L56" s="105"/>
      <x:c r="M56" s="105"/>
      <x:c r="N56" s="105"/>
      <x:c r="O56" s="105"/>
      <x:c r="P56" s="105"/>
      <x:c r="Q56" s="105"/>
      <x:c r="R56" s="105"/>
      <x:c r="S56" s="105"/>
      <x:c r="T56" s="105"/>
      <x:c r="U56" s="105"/>
    </x:row>
    <x:row r="57">
      <x:c r="A57" s="105"/>
      <x:c r="B57" s="105"/>
      <x:c r="C57" s="105"/>
      <x:c r="D57" s="105"/>
      <x:c r="E57" s="105"/>
      <x:c r="F57" s="105"/>
      <x:c r="G57" s="105"/>
      <x:c r="H57" s="105"/>
      <x:c r="I57" s="105"/>
      <x:c r="J57" s="105"/>
      <x:c r="K57" s="105"/>
      <x:c r="L57" s="105"/>
      <x:c r="M57" s="105"/>
      <x:c r="N57" s="105"/>
      <x:c r="O57" s="105"/>
      <x:c r="P57" s="105"/>
      <x:c r="Q57" s="105"/>
      <x:c r="R57" s="105"/>
      <x:c r="S57" s="105"/>
      <x:c r="T57" s="105"/>
      <x:c r="U57" s="105"/>
    </x:row>
    <x:row r="58">
      <x:c r="A58" s="105"/>
      <x:c r="B58" s="105"/>
      <x:c r="C58" s="105"/>
      <x:c r="D58" s="105"/>
      <x:c r="E58" s="105"/>
      <x:c r="F58" s="105"/>
      <x:c r="G58" s="105"/>
      <x:c r="H58" s="105"/>
      <x:c r="I58" s="105"/>
      <x:c r="J58" s="105"/>
      <x:c r="K58" s="105"/>
      <x:c r="L58" s="105"/>
      <x:c r="M58" s="105"/>
      <x:c r="N58" s="105"/>
      <x:c r="O58" s="105"/>
      <x:c r="P58" s="105"/>
      <x:c r="Q58" s="105"/>
      <x:c r="R58" s="105"/>
      <x:c r="S58" s="105"/>
      <x:c r="T58" s="105"/>
      <x:c r="U58" s="105"/>
    </x:row>
    <x:row r="59">
      <x:c r="A59" s="105"/>
      <x:c r="B59" s="105"/>
      <x:c r="C59" s="105"/>
      <x:c r="D59" s="105"/>
      <x:c r="E59" s="105"/>
      <x:c r="F59" s="105"/>
      <x:c r="G59" s="105"/>
      <x:c r="H59" s="105"/>
      <x:c r="I59" s="105"/>
      <x:c r="J59" s="105"/>
      <x:c r="K59" s="105"/>
      <x:c r="L59" s="105"/>
      <x:c r="M59" s="105"/>
      <x:c r="N59" s="105"/>
      <x:c r="O59" s="105"/>
      <x:c r="P59" s="105"/>
      <x:c r="Q59" s="105"/>
      <x:c r="R59" s="105"/>
      <x:c r="S59" s="105"/>
      <x:c r="T59" s="105"/>
      <x:c r="U59" s="105"/>
    </x:row>
    <x:row r="60">
      <x:c r="A60" s="105"/>
      <x:c r="B60" s="105"/>
      <x:c r="C60" s="105"/>
      <x:c r="D60" s="105"/>
      <x:c r="E60" s="105"/>
      <x:c r="F60" s="105"/>
      <x:c r="G60" s="105"/>
      <x:c r="H60" s="105"/>
      <x:c r="I60" s="105"/>
      <x:c r="J60" s="105"/>
      <x:c r="K60" s="105"/>
      <x:c r="L60" s="105"/>
      <x:c r="M60" s="105"/>
      <x:c r="N60" s="105"/>
      <x:c r="O60" s="105"/>
      <x:c r="P60" s="105"/>
      <x:c r="Q60" s="105"/>
      <x:c r="R60" s="105"/>
      <x:c r="S60" s="105"/>
      <x:c r="T60" s="105"/>
      <x:c r="U60" s="105"/>
    </x:row>
    <x:row r="61">
      <x:c r="A61" s="105"/>
      <x:c r="B61" s="105"/>
      <x:c r="C61" s="105"/>
      <x:c r="D61" s="105"/>
      <x:c r="E61" s="105"/>
      <x:c r="F61" s="105"/>
      <x:c r="G61" s="105"/>
      <x:c r="H61" s="105"/>
      <x:c r="I61" s="105"/>
      <x:c r="J61" s="105"/>
      <x:c r="K61" s="105"/>
      <x:c r="L61" s="105"/>
      <x:c r="M61" s="105"/>
      <x:c r="N61" s="105"/>
      <x:c r="O61" s="105"/>
      <x:c r="P61" s="105"/>
      <x:c r="Q61" s="105"/>
      <x:c r="R61" s="105"/>
      <x:c r="S61" s="105"/>
      <x:c r="T61" s="105"/>
      <x:c r="U61" s="105"/>
    </x:row>
    <x:row r="62">
      <x:c r="A62" s="105"/>
      <x:c r="B62" s="105"/>
      <x:c r="C62" s="105"/>
      <x:c r="D62" s="105"/>
      <x:c r="E62" s="105"/>
      <x:c r="F62" s="105"/>
      <x:c r="G62" s="105"/>
      <x:c r="H62" s="105"/>
      <x:c r="I62" s="105"/>
      <x:c r="J62" s="105"/>
      <x:c r="K62" s="105"/>
      <x:c r="L62" s="105"/>
      <x:c r="M62" s="105"/>
      <x:c r="N62" s="105"/>
      <x:c r="O62" s="105"/>
      <x:c r="P62" s="105"/>
      <x:c r="Q62" s="105"/>
      <x:c r="R62" s="105"/>
      <x:c r="S62" s="105"/>
      <x:c r="T62" s="105"/>
      <x:c r="U62" s="105"/>
    </x:row>
    <x:row r="63">
      <x:c r="A63" s="105"/>
      <x:c r="B63" s="105"/>
      <x:c r="C63" s="105"/>
      <x:c r="D63" s="105"/>
      <x:c r="E63" s="105"/>
      <x:c r="F63" s="105"/>
      <x:c r="G63" s="105"/>
      <x:c r="H63" s="105"/>
      <x:c r="I63" s="105"/>
      <x:c r="J63" s="105"/>
      <x:c r="K63" s="105"/>
      <x:c r="L63" s="105"/>
      <x:c r="M63" s="105"/>
      <x:c r="N63" s="105"/>
      <x:c r="O63" s="105"/>
      <x:c r="P63" s="105"/>
      <x:c r="Q63" s="105"/>
      <x:c r="R63" s="105"/>
      <x:c r="S63" s="105"/>
      <x:c r="T63" s="105"/>
      <x:c r="U63" s="105"/>
    </x:row>
    <x:row r="64">
      <x:c r="A64" s="105"/>
      <x:c r="B64" s="105"/>
      <x:c r="C64" s="105"/>
      <x:c r="D64" s="105"/>
      <x:c r="E64" s="105"/>
      <x:c r="F64" s="105"/>
      <x:c r="G64" s="105"/>
      <x:c r="H64" s="105"/>
      <x:c r="I64" s="105"/>
      <x:c r="J64" s="105"/>
      <x:c r="K64" s="105"/>
      <x:c r="L64" s="105"/>
      <x:c r="M64" s="105"/>
      <x:c r="N64" s="105"/>
      <x:c r="O64" s="105"/>
      <x:c r="P64" s="105"/>
      <x:c r="Q64" s="105"/>
      <x:c r="R64" s="105"/>
      <x:c r="S64" s="105"/>
      <x:c r="T64" s="105"/>
      <x:c r="U64" s="105"/>
    </x:row>
    <x:row r="65">
      <x:c r="A65" s="105"/>
      <x:c r="B65" s="105"/>
      <x:c r="C65" s="105"/>
      <x:c r="D65" s="105"/>
      <x:c r="E65" s="105"/>
      <x:c r="F65" s="105"/>
      <x:c r="G65" s="105"/>
      <x:c r="H65" s="105"/>
      <x:c r="I65" s="105"/>
      <x:c r="J65" s="105"/>
      <x:c r="K65" s="105"/>
      <x:c r="L65" s="105"/>
      <x:c r="M65" s="105"/>
      <x:c r="N65" s="105"/>
      <x:c r="O65" s="105"/>
      <x:c r="P65" s="105"/>
      <x:c r="Q65" s="105"/>
      <x:c r="R65" s="105"/>
      <x:c r="S65" s="105"/>
      <x:c r="T65" s="105"/>
      <x:c r="U65" s="105"/>
    </x:row>
    <x:row r="66">
      <x:c r="A66" s="105"/>
      <x:c r="B66" s="105"/>
      <x:c r="C66" s="105"/>
      <x:c r="D66" s="105"/>
      <x:c r="E66" s="105"/>
      <x:c r="F66" s="105"/>
      <x:c r="G66" s="105"/>
      <x:c r="H66" s="105"/>
      <x:c r="I66" s="105"/>
      <x:c r="J66" s="105"/>
      <x:c r="K66" s="105"/>
      <x:c r="L66" s="105"/>
      <x:c r="M66" s="105"/>
      <x:c r="N66" s="105"/>
      <x:c r="O66" s="105"/>
      <x:c r="P66" s="105"/>
      <x:c r="Q66" s="105"/>
      <x:c r="R66" s="105"/>
      <x:c r="S66" s="105"/>
      <x:c r="T66" s="105"/>
      <x:c r="U66" s="105"/>
    </x:row>
    <x:row r="67">
      <x:c r="A67" s="105"/>
      <x:c r="B67" s="105"/>
      <x:c r="C67" s="105"/>
      <x:c r="D67" s="105"/>
      <x:c r="E67" s="105"/>
      <x:c r="F67" s="105"/>
      <x:c r="G67" s="105"/>
      <x:c r="H67" s="105"/>
      <x:c r="I67" s="105"/>
      <x:c r="J67" s="105"/>
      <x:c r="K67" s="105"/>
      <x:c r="L67" s="105"/>
      <x:c r="M67" s="105"/>
      <x:c r="N67" s="105"/>
      <x:c r="O67" s="105"/>
      <x:c r="P67" s="105"/>
      <x:c r="Q67" s="105"/>
      <x:c r="R67" s="105"/>
      <x:c r="S67" s="105"/>
      <x:c r="T67" s="105"/>
      <x:c r="U67" s="105"/>
    </x:row>
    <x:row r="68">
      <x:c r="A68" s="105"/>
      <x:c r="B68" s="105"/>
      <x:c r="C68" s="105"/>
      <x:c r="D68" s="105"/>
      <x:c r="E68" s="105"/>
      <x:c r="F68" s="105"/>
      <x:c r="G68" s="105"/>
      <x:c r="H68" s="105"/>
      <x:c r="I68" s="105"/>
      <x:c r="J68" s="105"/>
      <x:c r="K68" s="105"/>
      <x:c r="L68" s="105"/>
      <x:c r="M68" s="105"/>
      <x:c r="N68" s="105"/>
      <x:c r="O68" s="105"/>
      <x:c r="P68" s="105"/>
      <x:c r="Q68" s="105"/>
      <x:c r="R68" s="105"/>
      <x:c r="S68" s="105"/>
      <x:c r="T68" s="105"/>
      <x:c r="U68" s="105"/>
    </x:row>
    <x:row r="69">
      <x:c r="A69" s="105"/>
      <x:c r="B69" s="105"/>
      <x:c r="C69" s="105"/>
      <x:c r="D69" s="105"/>
      <x:c r="E69" s="105"/>
      <x:c r="F69" s="105"/>
      <x:c r="G69" s="105"/>
      <x:c r="H69" s="105"/>
      <x:c r="I69" s="105"/>
      <x:c r="J69" s="105"/>
      <x:c r="K69" s="105"/>
      <x:c r="L69" s="105"/>
      <x:c r="M69" s="105"/>
      <x:c r="N69" s="105"/>
      <x:c r="O69" s="105"/>
      <x:c r="P69" s="105"/>
      <x:c r="Q69" s="105"/>
      <x:c r="R69" s="105"/>
      <x:c r="S69" s="105"/>
      <x:c r="T69" s="105"/>
      <x:c r="U69" s="105"/>
    </x:row>
    <x:row r="70">
      <x:c r="A70" s="105"/>
      <x:c r="B70" s="105"/>
      <x:c r="C70" s="105"/>
      <x:c r="D70" s="105"/>
      <x:c r="E70" s="105"/>
      <x:c r="F70" s="105"/>
      <x:c r="G70" s="105"/>
      <x:c r="H70" s="105"/>
      <x:c r="I70" s="105"/>
      <x:c r="J70" s="105"/>
      <x:c r="K70" s="105"/>
      <x:c r="L70" s="105"/>
      <x:c r="M70" s="105"/>
      <x:c r="N70" s="105"/>
      <x:c r="O70" s="105"/>
      <x:c r="P70" s="105"/>
      <x:c r="Q70" s="105"/>
      <x:c r="R70" s="105"/>
      <x:c r="S70" s="105"/>
      <x:c r="T70" s="105"/>
      <x:c r="U70" s="105"/>
    </x:row>
    <x:row r="71">
      <x:c r="A71" s="105"/>
      <x:c r="B71" s="105"/>
      <x:c r="C71" s="105"/>
      <x:c r="D71" s="105"/>
      <x:c r="E71" s="105"/>
      <x:c r="F71" s="105"/>
      <x:c r="G71" s="105"/>
      <x:c r="H71" s="105"/>
      <x:c r="I71" s="105"/>
      <x:c r="J71" s="105"/>
      <x:c r="K71" s="105"/>
      <x:c r="L71" s="105"/>
      <x:c r="M71" s="105"/>
      <x:c r="N71" s="105"/>
      <x:c r="O71" s="105"/>
      <x:c r="P71" s="105"/>
      <x:c r="Q71" s="105"/>
      <x:c r="R71" s="105"/>
      <x:c r="S71" s="105"/>
      <x:c r="T71" s="105"/>
      <x:c r="U71" s="105"/>
    </x:row>
    <x:row r="72">
      <x:c r="A72" s="105"/>
      <x:c r="B72" s="105"/>
      <x:c r="C72" s="105"/>
      <x:c r="D72" s="105"/>
      <x:c r="E72" s="105"/>
      <x:c r="F72" s="105"/>
      <x:c r="G72" s="105"/>
      <x:c r="H72" s="105"/>
      <x:c r="I72" s="105"/>
      <x:c r="J72" s="105"/>
      <x:c r="K72" s="105"/>
      <x:c r="L72" s="105"/>
      <x:c r="M72" s="105"/>
      <x:c r="N72" s="105"/>
      <x:c r="O72" s="105"/>
      <x:c r="P72" s="105"/>
      <x:c r="Q72" s="105"/>
      <x:c r="R72" s="105"/>
      <x:c r="S72" s="105"/>
      <x:c r="T72" s="105"/>
      <x:c r="U72" s="105"/>
    </x:row>
    <x:row r="73">
      <x:c r="A73" s="105"/>
      <x:c r="B73" s="105"/>
      <x:c r="C73" s="105"/>
      <x:c r="D73" s="105"/>
      <x:c r="E73" s="105"/>
      <x:c r="F73" s="105"/>
      <x:c r="G73" s="105"/>
      <x:c r="H73" s="105"/>
      <x:c r="I73" s="105"/>
      <x:c r="J73" s="105"/>
      <x:c r="K73" s="105"/>
      <x:c r="L73" s="105"/>
      <x:c r="M73" s="105"/>
      <x:c r="N73" s="105"/>
      <x:c r="O73" s="105"/>
      <x:c r="P73" s="105"/>
      <x:c r="Q73" s="105"/>
      <x:c r="R73" s="105"/>
      <x:c r="S73" s="105"/>
      <x:c r="T73" s="105"/>
      <x:c r="U73" s="105"/>
    </x:row>
    <x:row r="74">
      <x:c r="A74" s="105"/>
      <x:c r="B74" s="105"/>
      <x:c r="C74" s="105"/>
      <x:c r="D74" s="105"/>
      <x:c r="E74" s="105"/>
      <x:c r="F74" s="105"/>
      <x:c r="G74" s="105"/>
      <x:c r="H74" s="105"/>
      <x:c r="I74" s="105"/>
      <x:c r="J74" s="105"/>
      <x:c r="K74" s="105"/>
      <x:c r="L74" s="105"/>
      <x:c r="M74" s="105"/>
      <x:c r="N74" s="105"/>
      <x:c r="O74" s="105"/>
      <x:c r="P74" s="105"/>
      <x:c r="Q74" s="105"/>
      <x:c r="R74" s="105"/>
      <x:c r="S74" s="105"/>
      <x:c r="T74" s="105"/>
      <x:c r="U74" s="105"/>
    </x:row>
    <x:row r="75">
      <x:c r="A75" s="105"/>
      <x:c r="B75" s="105"/>
      <x:c r="C75" s="105"/>
      <x:c r="D75" s="105"/>
      <x:c r="E75" s="105"/>
      <x:c r="F75" s="105"/>
      <x:c r="G75" s="105"/>
      <x:c r="H75" s="105"/>
      <x:c r="I75" s="105"/>
      <x:c r="J75" s="105"/>
      <x:c r="K75" s="105"/>
      <x:c r="L75" s="105"/>
      <x:c r="M75" s="105"/>
      <x:c r="N75" s="105"/>
      <x:c r="O75" s="105"/>
      <x:c r="P75" s="105"/>
      <x:c r="Q75" s="105"/>
      <x:c r="R75" s="105"/>
      <x:c r="S75" s="105"/>
      <x:c r="T75" s="105"/>
      <x:c r="U75" s="105"/>
    </x:row>
    <x:row r="76">
      <x:c r="A76" s="105"/>
      <x:c r="B76" s="105"/>
      <x:c r="C76" s="105"/>
      <x:c r="D76" s="105"/>
      <x:c r="E76" s="105"/>
      <x:c r="F76" s="105"/>
      <x:c r="G76" s="105"/>
      <x:c r="H76" s="105"/>
      <x:c r="I76" s="105"/>
      <x:c r="J76" s="105"/>
      <x:c r="K76" s="105"/>
      <x:c r="L76" s="105"/>
      <x:c r="M76" s="105"/>
      <x:c r="N76" s="105"/>
      <x:c r="O76" s="105"/>
      <x:c r="P76" s="105"/>
      <x:c r="Q76" s="105"/>
      <x:c r="R76" s="105"/>
      <x:c r="S76" s="105"/>
      <x:c r="T76" s="105"/>
      <x:c r="U76" s="105"/>
    </x:row>
    <x:row r="77">
      <x:c r="A77" s="105"/>
      <x:c r="B77" s="105"/>
      <x:c r="C77" s="105"/>
      <x:c r="D77" s="105"/>
      <x:c r="E77" s="105"/>
      <x:c r="F77" s="105"/>
      <x:c r="G77" s="105"/>
      <x:c r="H77" s="105"/>
      <x:c r="I77" s="105"/>
      <x:c r="J77" s="105"/>
      <x:c r="K77" s="105"/>
      <x:c r="L77" s="105"/>
      <x:c r="M77" s="105"/>
      <x:c r="N77" s="105"/>
      <x:c r="O77" s="105"/>
      <x:c r="P77" s="105"/>
      <x:c r="Q77" s="105"/>
      <x:c r="R77" s="105"/>
      <x:c r="S77" s="105"/>
      <x:c r="T77" s="105"/>
      <x:c r="U77" s="105"/>
    </x:row>
    <x:row r="78">
      <x:c r="A78" s="105"/>
      <x:c r="B78" s="105"/>
      <x:c r="C78" s="105"/>
      <x:c r="D78" s="105"/>
      <x:c r="E78" s="105"/>
      <x:c r="F78" s="105"/>
      <x:c r="G78" s="105"/>
      <x:c r="H78" s="105"/>
      <x:c r="I78" s="105"/>
      <x:c r="J78" s="105"/>
      <x:c r="K78" s="105"/>
      <x:c r="L78" s="105"/>
      <x:c r="M78" s="105"/>
      <x:c r="N78" s="105"/>
      <x:c r="O78" s="105"/>
      <x:c r="P78" s="105"/>
      <x:c r="Q78" s="105"/>
      <x:c r="R78" s="105"/>
      <x:c r="S78" s="105"/>
      <x:c r="T78" s="105"/>
      <x:c r="U78" s="105"/>
    </x:row>
    <x:row r="79">
      <x:c r="A79" s="105"/>
      <x:c r="B79" s="105"/>
      <x:c r="C79" s="105"/>
      <x:c r="D79" s="105"/>
      <x:c r="E79" s="105"/>
      <x:c r="F79" s="105"/>
      <x:c r="G79" s="105"/>
      <x:c r="H79" s="105"/>
      <x:c r="I79" s="105"/>
      <x:c r="J79" s="105"/>
      <x:c r="K79" s="105"/>
      <x:c r="L79" s="105"/>
      <x:c r="M79" s="105"/>
      <x:c r="N79" s="105"/>
      <x:c r="O79" s="105"/>
      <x:c r="P79" s="105"/>
      <x:c r="Q79" s="105"/>
      <x:c r="R79" s="105"/>
      <x:c r="S79" s="105"/>
      <x:c r="T79" s="105"/>
      <x:c r="U79" s="105"/>
    </x:row>
    <x:row r="80">
      <x:c r="A80" s="105"/>
      <x:c r="B80" s="105"/>
      <x:c r="C80" s="105"/>
      <x:c r="D80" s="105"/>
      <x:c r="E80" s="105"/>
      <x:c r="F80" s="105"/>
      <x:c r="G80" s="105"/>
      <x:c r="H80" s="105"/>
      <x:c r="I80" s="105"/>
      <x:c r="J80" s="105"/>
      <x:c r="K80" s="105"/>
      <x:c r="L80" s="105"/>
      <x:c r="M80" s="105"/>
      <x:c r="N80" s="105"/>
      <x:c r="O80" s="105"/>
      <x:c r="P80" s="105"/>
      <x:c r="Q80" s="105"/>
      <x:c r="R80" s="105"/>
      <x:c r="S80" s="105"/>
      <x:c r="T80" s="105"/>
      <x:c r="U80" s="105"/>
    </x:row>
  </x:sheetData>
  <x:mergeCells>
    <x:mergeCell ref="A1:J1"/>
    <x:mergeCell ref="A12:J12"/>
  </x:mergeCells>
  <x:pageMargins left="0.7" right="0.7" top="0.75" bottom="0.75" header="0.3" footer="0.3"/>
  <x:drawing xmlns:r="http://schemas.openxmlformats.org/officeDocument/2006/relationships" r:id="R08c0921842704b9b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52" hidden="0" customWidth="1"/>
    <x:col min="5" max="5" width="24" hidden="0" customWidth="1"/>
    <x:col min="6" max="6" width="14" hidden="0" customWidth="1"/>
    <x:col min="7" max="7" width="48" hidden="0" customWidth="1"/>
  </x:cols>
  <x:sheetData>
    <x:row r="1">
      <x:c r="A1" s="104" t="str">
        <x:v>Model Assumptions — Edit Blue Inputs</x:v>
      </x:c>
      <x:c r="B1" s="104"/>
      <x:c r="C1" s="104"/>
      <x:c r="D1" s="104"/>
      <x:c r="E1" s="104"/>
      <x:c r="F1" s="104"/>
      <x:c r="G1" s="104"/>
      <x:c r="H1" s="104"/>
      <x:c r="I1" s="105"/>
      <x:c r="J1" s="105"/>
      <x:c r="K1" s="105"/>
      <x:c r="L1" s="105"/>
      <x:c r="M1" s="105"/>
      <x:c r="N1" s="105"/>
      <x:c r="O1" s="105"/>
      <x:c r="P1" s="105"/>
      <x:c r="Q1" s="105"/>
      <x:c r="R1" s="105"/>
      <x:c r="S1" s="105"/>
      <x:c r="T1" s="105"/>
      <x:c r="U1" s="105"/>
    </x:row>
    <x:row r="2">
      <x:c r="A2" s="105"/>
      <x:c r="B2" s="105"/>
      <x:c r="C2" s="105"/>
      <x:c r="D2" s="105"/>
      <x:c r="E2" s="105"/>
      <x:c r="F2" s="105"/>
      <x:c r="G2" s="105"/>
      <x:c r="H2" s="105"/>
      <x:c r="I2" s="105"/>
      <x:c r="J2" s="105"/>
      <x:c r="K2" s="105"/>
      <x:c r="L2" s="105"/>
      <x:c r="M2" s="105"/>
      <x:c r="N2" s="105"/>
      <x:c r="O2" s="105"/>
      <x:c r="P2" s="105"/>
      <x:c r="Q2" s="105"/>
      <x:c r="R2" s="105"/>
      <x:c r="S2" s="105"/>
      <x:c r="T2" s="105"/>
      <x:c r="U2" s="105"/>
    </x:row>
    <x:row r="3">
      <x:c r="A3" s="108" t="str">
        <x:v>Assumption</x:v>
      </x:c>
      <x:c r="B3" s="108" t="str">
        <x:v>Value</x:v>
      </x:c>
      <x:c r="C3" s="108" t="str">
        <x:v>Purpose</x:v>
      </x:c>
      <x:c r="D3" s="105"/>
      <x:c r="E3" s="108" t="str">
        <x:v>Land Grade</x:v>
      </x:c>
      <x:c r="F3" s="108" t="str">
        <x:v>Minimum LVI</x:v>
      </x:c>
      <x:c r="G3" s="108" t="str">
        <x:v>Notes</x:v>
      </x:c>
      <x:c r="H3" s="105"/>
      <x:c r="I3" s="105"/>
      <x:c r="J3" s="105"/>
      <x:c r="K3" s="105"/>
      <x:c r="L3" s="105"/>
      <x:c r="M3" s="105"/>
      <x:c r="N3" s="105"/>
      <x:c r="O3" s="105"/>
      <x:c r="P3" s="105"/>
      <x:c r="Q3" s="105"/>
      <x:c r="R3" s="105"/>
      <x:c r="S3" s="105"/>
      <x:c r="T3" s="105"/>
      <x:c r="U3" s="105"/>
    </x:row>
    <x:row r="4">
      <x:c r="A4" s="105" t="str">
        <x:v>Savings allocation to land</x:v>
      </x:c>
      <x:c r="B4" s="128" t="n">
        <x:v>0.7</x:v>
      </x:c>
      <x:c r="C4" s="105" t="str">
        <x:v>Share of net Cash assumed available for land acquisition.</x:v>
      </x:c>
      <x:c r="D4" s="105"/>
      <x:c r="E4" s="105" t="str">
        <x:v>Entry</x:v>
      </x:c>
      <x:c r="F4" s="129" t="n">
        <x:v>0</x:v>
      </x:c>
      <x:c r="G4" s="105" t="str">
        <x:v>Basic / peripheral</x:v>
      </x:c>
      <x:c r="H4" s="105"/>
      <x:c r="I4" s="105"/>
      <x:c r="J4" s="105"/>
      <x:c r="K4" s="105"/>
      <x:c r="L4" s="105"/>
      <x:c r="M4" s="105"/>
      <x:c r="N4" s="105"/>
      <x:c r="O4" s="105"/>
      <x:c r="P4" s="105"/>
      <x:c r="Q4" s="105"/>
      <x:c r="R4" s="105"/>
      <x:c r="S4" s="105"/>
      <x:c r="T4" s="105"/>
      <x:c r="U4" s="105"/>
    </x:row>
    <x:row r="5">
      <x:c r="A5" s="105" t="str">
        <x:v>Paid parcel start order</x:v>
      </x:c>
      <x:c r="B5" s="130" t="n">
        <x:v>7</x:v>
      </x:c>
      <x:c r="C5" s="105" t="str">
        <x:v>Parcels 2–6 are deed grants.</x:v>
      </x:c>
      <x:c r="D5" s="105"/>
      <x:c r="E5" s="105" t="str">
        <x:v>Growth</x:v>
      </x:c>
      <x:c r="F5" s="129" t="n">
        <x:v>55</x:v>
      </x:c>
      <x:c r="G5" s="105" t="str">
        <x:v>Useful general land</x:v>
      </x:c>
      <x:c r="H5" s="105"/>
      <x:c r="I5" s="105"/>
      <x:c r="J5" s="105"/>
      <x:c r="K5" s="105"/>
      <x:c r="L5" s="105"/>
      <x:c r="M5" s="105"/>
      <x:c r="N5" s="105"/>
      <x:c r="O5" s="105"/>
      <x:c r="P5" s="105"/>
      <x:c r="Q5" s="105"/>
      <x:c r="R5" s="105"/>
      <x:c r="S5" s="105"/>
      <x:c r="T5" s="105"/>
      <x:c r="U5" s="105"/>
    </x:row>
    <x:row r="6">
      <x:c r="A6" s="105" t="str">
        <x:v>Stage 1 output multiplier</x:v>
      </x:c>
      <x:c r="B6" s="131" t="n">
        <x:v>1</x:v>
      </x:c>
      <x:c r="C6" s="105" t="str">
        <x:v>Base building output.</x:v>
      </x:c>
      <x:c r="D6" s="105"/>
      <x:c r="E6" s="105" t="str">
        <x:v>Premium</x:v>
      </x:c>
      <x:c r="F6" s="129" t="n">
        <x:v>65</x:v>
      </x:c>
      <x:c r="G6" s="105" t="str">
        <x:v>Strong mixed commercial land</x:v>
      </x:c>
      <x:c r="H6" s="105"/>
      <x:c r="I6" s="105"/>
      <x:c r="J6" s="105"/>
      <x:c r="K6" s="105"/>
      <x:c r="L6" s="105"/>
      <x:c r="M6" s="105"/>
      <x:c r="N6" s="105"/>
      <x:c r="O6" s="105"/>
      <x:c r="P6" s="105"/>
      <x:c r="Q6" s="105"/>
      <x:c r="R6" s="105"/>
      <x:c r="S6" s="105"/>
      <x:c r="T6" s="105"/>
      <x:c r="U6" s="105"/>
    </x:row>
    <x:row r="7">
      <x:c r="A7" s="105" t="str">
        <x:v>Stage 2 output multiplier</x:v>
      </x:c>
      <x:c r="B7" s="131" t="n">
        <x:v>1.35</x:v>
      </x:c>
      <x:c r="C7" s="105" t="str">
        <x:v>Mid upgrade output.</x:v>
      </x:c>
      <x:c r="D7" s="105"/>
      <x:c r="E7" s="105" t="str">
        <x:v>Prime</x:v>
      </x:c>
      <x:c r="F7" s="129" t="n">
        <x:v>75</x:v>
      </x:c>
      <x:c r="G7" s="105" t="str">
        <x:v>High-value strategic land</x:v>
      </x:c>
      <x:c r="H7" s="105"/>
      <x:c r="I7" s="105"/>
      <x:c r="J7" s="105"/>
      <x:c r="K7" s="105"/>
      <x:c r="L7" s="105"/>
      <x:c r="M7" s="105"/>
      <x:c r="N7" s="105"/>
      <x:c r="O7" s="105"/>
      <x:c r="P7" s="105"/>
      <x:c r="Q7" s="105"/>
      <x:c r="R7" s="105"/>
      <x:c r="S7" s="105"/>
      <x:c r="T7" s="105"/>
      <x:c r="U7" s="105"/>
    </x:row>
    <x:row r="8">
      <x:c r="A8" s="105" t="str">
        <x:v>Stage 3 output multiplier</x:v>
      </x:c>
      <x:c r="B8" s="131" t="n">
        <x:v>1.8</x:v>
      </x:c>
      <x:c r="C8" s="105" t="str">
        <x:v>Late upgrade output.</x:v>
      </x:c>
      <x:c r="D8" s="105"/>
      <x:c r="E8" s="105" t="str">
        <x:v>Trophy</x:v>
      </x:c>
      <x:c r="F8" s="129" t="n">
        <x:v>85</x:v>
      </x:c>
      <x:c r="G8" s="105" t="str">
        <x:v>Exceptional core / landmark land</x:v>
      </x:c>
      <x:c r="H8" s="105"/>
      <x:c r="I8" s="105"/>
      <x:c r="J8" s="105"/>
      <x:c r="K8" s="105"/>
      <x:c r="L8" s="105"/>
      <x:c r="M8" s="105"/>
      <x:c r="N8" s="105"/>
      <x:c r="O8" s="105"/>
      <x:c r="P8" s="105"/>
      <x:c r="Q8" s="105"/>
      <x:c r="R8" s="105"/>
      <x:c r="S8" s="105"/>
      <x:c r="T8" s="105"/>
      <x:c r="U8" s="105"/>
    </x:row>
    <x:row r="9">
      <x:c r="A9" s="105" t="str">
        <x:v>Stage 2 incremental payback days</x:v>
      </x:c>
      <x:c r="B9" s="129" t="n">
        <x:v>5</x:v>
      </x:c>
      <x:c r="C9" s="105" t="str">
        <x:v>Target payback on 1→2 upgrade.</x:v>
      </x:c>
      <x:c r="D9" s="105"/>
      <x:c r="E9" s="105" t="str"/>
      <x:c r="F9" s="105" t="str"/>
      <x:c r="G9" s="105" t="str">
        <x:v>Thresholds are deterministic and scriptable.</x:v>
      </x:c>
      <x:c r="H9" s="105"/>
      <x:c r="I9" s="105"/>
      <x:c r="J9" s="105"/>
      <x:c r="K9" s="105"/>
      <x:c r="L9" s="105"/>
      <x:c r="M9" s="105"/>
      <x:c r="N9" s="105"/>
      <x:c r="O9" s="105"/>
      <x:c r="P9" s="105"/>
      <x:c r="Q9" s="105"/>
      <x:c r="R9" s="105"/>
      <x:c r="S9" s="105"/>
      <x:c r="T9" s="105"/>
      <x:c r="U9" s="105"/>
    </x:row>
    <x:row r="10">
      <x:c r="A10" s="105" t="str">
        <x:v>Stage 3 incremental payback days</x:v>
      </x:c>
      <x:c r="B10" s="129" t="n">
        <x:v>8</x:v>
      </x:c>
      <x:c r="C10" s="105" t="str">
        <x:v>Target payback on 2→3 upgrade.</x:v>
      </x:c>
      <x:c r="D10" s="105"/>
      <x:c r="E10" s="105"/>
      <x:c r="F10" s="105"/>
      <x:c r="G10" s="105"/>
      <x:c r="H10" s="105"/>
      <x:c r="I10" s="105"/>
      <x:c r="J10" s="105"/>
      <x:c r="K10" s="105"/>
      <x:c r="L10" s="105"/>
      <x:c r="M10" s="105"/>
      <x:c r="N10" s="105"/>
      <x:c r="O10" s="105"/>
      <x:c r="P10" s="105"/>
      <x:c r="Q10" s="105"/>
      <x:c r="R10" s="105"/>
      <x:c r="S10" s="105"/>
      <x:c r="T10" s="105"/>
      <x:c r="U10" s="105"/>
    </x:row>
    <x:row r="11">
      <x:c r="A11" s="105" t="str">
        <x:v>Base occupancy/utilization</x:v>
      </x:c>
      <x:c r="B11" s="128" t="n">
        <x:v>0.9</x:v>
      </x:c>
      <x:c r="C11" s="105" t="str">
        <x:v>Expected share of capacity actively producing.</x:v>
      </x:c>
      <x:c r="D11" s="105"/>
      <x:c r="E11" s="105"/>
      <x:c r="F11" s="105"/>
      <x:c r="G11" s="105"/>
      <x:c r="H11" s="105"/>
      <x:c r="I11" s="105"/>
      <x:c r="J11" s="105"/>
      <x:c r="K11" s="105"/>
      <x:c r="L11" s="105"/>
      <x:c r="M11" s="105"/>
      <x:c r="N11" s="105"/>
      <x:c r="O11" s="105"/>
      <x:c r="P11" s="105"/>
      <x:c r="Q11" s="105"/>
      <x:c r="R11" s="105"/>
      <x:c r="S11" s="105"/>
      <x:c r="T11" s="105"/>
      <x:c r="U11" s="105"/>
    </x:row>
    <x:row r="12">
      <x:c r="A12" s="105" t="str">
        <x:v>Min placement multiplier</x:v>
      </x:c>
      <x:c r="B12" s="130" t="n">
        <x:v>0.8</x:v>
      </x:c>
      <x:c r="C12" s="105" t="str">
        <x:v>Floor for poor location/building fit.</x:v>
      </x:c>
      <x:c r="D12" s="105"/>
      <x:c r="E12" s="108" t="str">
        <x:v>Land Attribute</x:v>
      </x:c>
      <x:c r="F12" s="108" t="str">
        <x:v>LVI Weight</x:v>
      </x:c>
      <x:c r="G12" s="108" t="str">
        <x:v>Mechanical Mapping</x:v>
      </x:c>
      <x:c r="H12" s="105"/>
      <x:c r="I12" s="105"/>
      <x:c r="J12" s="105"/>
      <x:c r="K12" s="105"/>
      <x:c r="L12" s="105"/>
      <x:c r="M12" s="105"/>
      <x:c r="N12" s="105"/>
      <x:c r="O12" s="105"/>
      <x:c r="P12" s="105"/>
      <x:c r="Q12" s="105"/>
      <x:c r="R12" s="105"/>
      <x:c r="S12" s="105"/>
      <x:c r="T12" s="105"/>
      <x:c r="U12" s="105"/>
    </x:row>
    <x:row r="13">
      <x:c r="A13" s="105" t="str">
        <x:v>Max placement multiplier</x:v>
      </x:c>
      <x:c r="B13" s="130" t="n">
        <x:v>1.25</x:v>
      </x:c>
      <x:c r="C13" s="105" t="str">
        <x:v>Cap for excellent location/building fit.</x:v>
      </x:c>
      <x:c r="D13" s="105"/>
      <x:c r="E13" s="105" t="str">
        <x:v>Commerce</x:v>
      </x:c>
      <x:c r="F13" s="128" t="n">
        <x:v>0.25</x:v>
      </x:c>
      <x:c r="G13" s="105" t="str">
        <x:v>Base demand / commercial activity</x:v>
      </x:c>
      <x:c r="H13" s="105"/>
      <x:c r="I13" s="105"/>
      <x:c r="J13" s="105"/>
      <x:c r="K13" s="105"/>
      <x:c r="L13" s="105"/>
      <x:c r="M13" s="105"/>
      <x:c r="N13" s="105"/>
      <x:c r="O13" s="105"/>
      <x:c r="P13" s="105"/>
      <x:c r="Q13" s="105"/>
      <x:c r="R13" s="105"/>
      <x:c r="S13" s="105"/>
      <x:c r="T13" s="105"/>
      <x:c r="U13" s="105"/>
    </x:row>
    <x:row r="14">
      <x:c r="A14" s="105" t="str">
        <x:v>Trophy required-level gates</x:v>
      </x:c>
      <x:c r="B14" s="130" t="n">
        <x:v>1</x:v>
      </x:c>
      <x:c r="C14" s="105" t="str">
        <x:v>1 = rare parcel-level gate active; 0 = capacity/cash only.</x:v>
      </x:c>
      <x:c r="D14" s="105"/>
      <x:c r="E14" s="105" t="str">
        <x:v>Footfall</x:v>
      </x:c>
      <x:c r="F14" s="128" t="n">
        <x:v>0.1</x:v>
      </x:c>
      <x:c r="G14" s="105" t="str">
        <x:v>Customer acquisition</x:v>
      </x:c>
      <x:c r="H14" s="105"/>
      <x:c r="I14" s="105"/>
      <x:c r="J14" s="105"/>
      <x:c r="K14" s="105"/>
      <x:c r="L14" s="105"/>
      <x:c r="M14" s="105"/>
      <x:c r="N14" s="105"/>
      <x:c r="O14" s="105"/>
      <x:c r="P14" s="105"/>
      <x:c r="Q14" s="105"/>
      <x:c r="R14" s="105"/>
      <x:c r="S14" s="105"/>
      <x:c r="T14" s="105"/>
      <x:c r="U14" s="105"/>
    </x:row>
    <x:row r="15">
      <x:c r="A15" s="105" t="str">
        <x:v>Land price rounding</x:v>
      </x:c>
      <x:c r="B15" s="130" t="n">
        <x:v>100</x:v>
      </x:c>
      <x:c r="C15" s="105" t="str">
        <x:v>Final land prices round to nearest Cash increment.</x:v>
      </x:c>
      <x:c r="D15" s="105"/>
      <x:c r="E15" s="105" t="str">
        <x:v>Road Access</x:v>
      </x:c>
      <x:c r="F15" s="128" t="n">
        <x:v>0.15</x:v>
      </x:c>
      <x:c r="G15" s="105" t="str">
        <x:v>Acquisition + service throughput</x:v>
      </x:c>
      <x:c r="H15" s="105"/>
      <x:c r="I15" s="105"/>
      <x:c r="J15" s="105"/>
      <x:c r="K15" s="105"/>
      <x:c r="L15" s="105"/>
      <x:c r="M15" s="105"/>
      <x:c r="N15" s="105"/>
      <x:c r="O15" s="105"/>
      <x:c r="P15" s="105"/>
      <x:c r="Q15" s="105"/>
      <x:c r="R15" s="105"/>
      <x:c r="S15" s="105"/>
      <x:c r="T15" s="105"/>
      <x:c r="U15" s="105"/>
    </x:row>
    <x:row r="16">
      <x:c r="A16" s="105"/>
      <x:c r="B16" s="105"/>
      <x:c r="C16" s="105"/>
      <x:c r="D16" s="105"/>
      <x:c r="E16" s="105" t="str">
        <x:v>Prestige</x:v>
      </x:c>
      <x:c r="F16" s="128" t="n">
        <x:v>0.12</x:v>
      </x:c>
      <x:c r="G16" s="105" t="str">
        <x:v>Affluent/HNW/institutional mix</x:v>
      </x:c>
      <x:c r="H16" s="105"/>
      <x:c r="I16" s="105"/>
      <x:c r="J16" s="105"/>
      <x:c r="K16" s="105"/>
      <x:c r="L16" s="105"/>
      <x:c r="M16" s="105"/>
      <x:c r="N16" s="105"/>
      <x:c r="O16" s="105"/>
      <x:c r="P16" s="105"/>
      <x:c r="Q16" s="105"/>
      <x:c r="R16" s="105"/>
      <x:c r="S16" s="105"/>
      <x:c r="T16" s="105"/>
      <x:c r="U16" s="105"/>
    </x:row>
    <x:row r="17">
      <x:c r="A17" s="105"/>
      <x:c r="B17" s="105"/>
      <x:c r="C17" s="105"/>
      <x:c r="D17" s="105"/>
      <x:c r="E17" s="105" t="str">
        <x:v>Capital Access</x:v>
      </x:c>
      <x:c r="F17" s="128" t="n">
        <x:v>0.15</x:v>
      </x:c>
      <x:c r="G17" s="105" t="str">
        <x:v>HNW/institutional mix + capital capacity</x:v>
      </x:c>
      <x:c r="H17" s="105"/>
      <x:c r="I17" s="105"/>
      <x:c r="J17" s="105"/>
      <x:c r="K17" s="105"/>
      <x:c r="L17" s="105"/>
      <x:c r="M17" s="105"/>
      <x:c r="N17" s="105"/>
      <x:c r="O17" s="105"/>
      <x:c r="P17" s="105"/>
      <x:c r="Q17" s="105"/>
      <x:c r="R17" s="105"/>
      <x:c r="S17" s="105"/>
      <x:c r="T17" s="105"/>
      <x:c r="U17" s="105"/>
    </x:row>
    <x:row r="18">
      <x:c r="A18" s="105"/>
      <x:c r="B18" s="105"/>
      <x:c r="C18" s="105"/>
      <x:c r="D18" s="105"/>
      <x:c r="E18" s="105" t="str">
        <x:v>Data / Talent</x:v>
      </x:c>
      <x:c r="F18" s="128" t="n">
        <x:v>0.08</x:v>
      </x:c>
      <x:c r="G18" s="105" t="str">
        <x:v>Operational efficiency / performance</x:v>
      </x:c>
      <x:c r="H18" s="105"/>
      <x:c r="I18" s="105"/>
      <x:c r="J18" s="105"/>
      <x:c r="K18" s="105"/>
      <x:c r="L18" s="105"/>
      <x:c r="M18" s="105"/>
      <x:c r="N18" s="105"/>
      <x:c r="O18" s="105"/>
      <x:c r="P18" s="105"/>
      <x:c r="Q18" s="105"/>
      <x:c r="R18" s="105"/>
      <x:c r="S18" s="105"/>
      <x:c r="T18" s="105"/>
      <x:c r="U18" s="105"/>
    </x:row>
    <x:row r="19">
      <x:c r="A19" s="105"/>
      <x:c r="B19" s="105"/>
      <x:c r="C19" s="105"/>
      <x:c r="D19" s="105"/>
      <x:c r="E19" s="105" t="str">
        <x:v>Security</x:v>
      </x:c>
      <x:c r="F19" s="128" t="n">
        <x:v>0.05</x:v>
      </x:c>
      <x:c r="G19" s="105" t="str">
        <x:v>Risk reduction / custody suitability</x:v>
      </x:c>
      <x:c r="H19" s="105"/>
      <x:c r="I19" s="105"/>
      <x:c r="J19" s="105"/>
      <x:c r="K19" s="105"/>
      <x:c r="L19" s="105"/>
      <x:c r="M19" s="105"/>
      <x:c r="N19" s="105"/>
      <x:c r="O19" s="105"/>
      <x:c r="P19" s="105"/>
      <x:c r="Q19" s="105"/>
      <x:c r="R19" s="105"/>
      <x:c r="S19" s="105"/>
      <x:c r="T19" s="105"/>
      <x:c r="U19" s="105"/>
    </x:row>
    <x:row r="20">
      <x:c r="A20" s="105"/>
      <x:c r="B20" s="105"/>
      <x:c r="C20" s="105"/>
      <x:c r="D20" s="105"/>
      <x:c r="E20" s="105" t="str">
        <x:v>Amenity</x:v>
      </x:c>
      <x:c r="F20" s="128" t="n">
        <x:v>0.05</x:v>
      </x:c>
      <x:c r="G20" s="105" t="str">
        <x:v>Retention / reputation / premium attraction</x:v>
      </x:c>
      <x:c r="H20" s="105"/>
      <x:c r="I20" s="105"/>
      <x:c r="J20" s="105"/>
      <x:c r="K20" s="105"/>
      <x:c r="L20" s="105"/>
      <x:c r="M20" s="105"/>
      <x:c r="N20" s="105"/>
      <x:c r="O20" s="105"/>
      <x:c r="P20" s="105"/>
      <x:c r="Q20" s="105"/>
      <x:c r="R20" s="105"/>
      <x:c r="S20" s="105"/>
      <x:c r="T20" s="105"/>
      <x:c r="U20" s="105"/>
    </x:row>
    <x:row r="21">
      <x:c r="A21" s="105"/>
      <x:c r="B21" s="105"/>
      <x:c r="C21" s="105"/>
      <x:c r="D21" s="105"/>
      <x:c r="E21" s="105" t="str">
        <x:v>Adjacency Potential</x:v>
      </x:c>
      <x:c r="F21" s="128" t="n">
        <x:v>0.05</x:v>
      </x:c>
      <x:c r="G21" s="105" t="str">
        <x:v>Synergy capacity with nearby buildings</x:v>
      </x:c>
      <x:c r="H21" s="105"/>
      <x:c r="I21" s="105"/>
      <x:c r="J21" s="105"/>
      <x:c r="K21" s="105"/>
      <x:c r="L21" s="105"/>
      <x:c r="M21" s="105"/>
      <x:c r="N21" s="105"/>
      <x:c r="O21" s="105"/>
      <x:c r="P21" s="105"/>
      <x:c r="Q21" s="105"/>
      <x:c r="R21" s="105"/>
      <x:c r="S21" s="105"/>
      <x:c r="T21" s="105"/>
      <x:c r="U21" s="105"/>
    </x:row>
    <x:row r="22">
      <x:c r="A22" s="105"/>
      <x:c r="B22" s="105"/>
      <x:c r="C22" s="105"/>
      <x:c r="D22" s="105"/>
      <x:c r="E22" s="105"/>
      <x:c r="F22" s="105"/>
      <x:c r="G22" s="105"/>
      <x:c r="H22" s="105"/>
      <x:c r="I22" s="105"/>
      <x:c r="J22" s="105"/>
      <x:c r="K22" s="105"/>
      <x:c r="L22" s="105"/>
      <x:c r="M22" s="105"/>
      <x:c r="N22" s="105"/>
      <x:c r="O22" s="105"/>
      <x:c r="P22" s="105"/>
      <x:c r="Q22" s="105"/>
      <x:c r="R22" s="105"/>
      <x:c r="S22" s="105"/>
      <x:c r="T22" s="105"/>
      <x:c r="U22" s="105"/>
    </x:row>
    <x:row r="23">
      <x:c r="A23" s="105"/>
      <x:c r="B23" s="105"/>
      <x:c r="C23" s="105"/>
      <x:c r="D23" s="105"/>
      <x:c r="E23" s="105"/>
      <x:c r="F23" s="105"/>
      <x:c r="G23" s="105"/>
      <x:c r="H23" s="105"/>
      <x:c r="I23" s="105"/>
      <x:c r="J23" s="105"/>
      <x:c r="K23" s="105"/>
      <x:c r="L23" s="105"/>
      <x:c r="M23" s="105"/>
      <x:c r="N23" s="105"/>
      <x:c r="O23" s="105"/>
      <x:c r="P23" s="105"/>
      <x:c r="Q23" s="105"/>
      <x:c r="R23" s="105"/>
      <x:c r="S23" s="105"/>
      <x:c r="T23" s="105"/>
      <x:c r="U23" s="105"/>
    </x:row>
    <x:row r="24">
      <x:c r="A24" s="105"/>
      <x:c r="B24" s="105"/>
      <x:c r="C24" s="105"/>
      <x:c r="D24" s="105"/>
      <x:c r="E24" s="105"/>
      <x:c r="F24" s="105"/>
      <x:c r="G24" s="105"/>
      <x:c r="H24" s="105"/>
      <x:c r="I24" s="105"/>
      <x:c r="J24" s="105"/>
      <x:c r="K24" s="105"/>
      <x:c r="L24" s="105"/>
      <x:c r="M24" s="105"/>
      <x:c r="N24" s="105"/>
      <x:c r="O24" s="105"/>
      <x:c r="P24" s="105"/>
      <x:c r="Q24" s="105"/>
      <x:c r="R24" s="105"/>
      <x:c r="S24" s="105"/>
      <x:c r="T24" s="105"/>
      <x:c r="U24" s="105"/>
    </x:row>
    <x:row r="25">
      <x:c r="A25" s="105"/>
      <x:c r="B25" s="105"/>
      <x:c r="C25" s="105"/>
      <x:c r="D25" s="105"/>
      <x:c r="E25" s="105"/>
      <x:c r="F25" s="105"/>
      <x:c r="G25" s="105"/>
      <x:c r="H25" s="105"/>
      <x:c r="I25" s="105"/>
      <x:c r="J25" s="105"/>
      <x:c r="K25" s="105"/>
      <x:c r="L25" s="105"/>
      <x:c r="M25" s="105"/>
      <x:c r="N25" s="105"/>
      <x:c r="O25" s="105"/>
      <x:c r="P25" s="105"/>
      <x:c r="Q25" s="105"/>
      <x:c r="R25" s="105"/>
      <x:c r="S25" s="105"/>
      <x:c r="T25" s="105"/>
      <x:c r="U25" s="105"/>
    </x:row>
    <x:row r="26">
      <x:c r="A26" s="105"/>
      <x:c r="B26" s="105"/>
      <x:c r="C26" s="105"/>
      <x:c r="D26" s="105"/>
      <x:c r="E26" s="105"/>
      <x:c r="F26" s="105"/>
      <x:c r="G26" s="105"/>
      <x:c r="H26" s="105"/>
      <x:c r="I26" s="105"/>
      <x:c r="J26" s="105"/>
      <x:c r="K26" s="105"/>
      <x:c r="L26" s="105"/>
      <x:c r="M26" s="105"/>
      <x:c r="N26" s="105"/>
      <x:c r="O26" s="105"/>
      <x:c r="P26" s="105"/>
      <x:c r="Q26" s="105"/>
      <x:c r="R26" s="105"/>
      <x:c r="S26" s="105"/>
      <x:c r="T26" s="105"/>
      <x:c r="U26" s="105"/>
    </x:row>
    <x:row r="27">
      <x:c r="A27" s="105"/>
      <x:c r="B27" s="105"/>
      <x:c r="C27" s="105"/>
      <x:c r="D27" s="105"/>
      <x:c r="E27" s="105"/>
      <x:c r="F27" s="105"/>
      <x:c r="G27" s="105"/>
      <x:c r="H27" s="105"/>
      <x:c r="I27" s="105"/>
      <x:c r="J27" s="105"/>
      <x:c r="K27" s="105"/>
      <x:c r="L27" s="105"/>
      <x:c r="M27" s="105"/>
      <x:c r="N27" s="105"/>
      <x:c r="O27" s="105"/>
      <x:c r="P27" s="105"/>
      <x:c r="Q27" s="105"/>
      <x:c r="R27" s="105"/>
      <x:c r="S27" s="105"/>
      <x:c r="T27" s="105"/>
      <x:c r="U27" s="105"/>
    </x:row>
    <x:row r="28">
      <x:c r="A28" s="105"/>
      <x:c r="B28" s="105"/>
      <x:c r="C28" s="105"/>
      <x:c r="D28" s="105"/>
      <x:c r="E28" s="105"/>
      <x:c r="F28" s="105"/>
      <x:c r="G28" s="105"/>
      <x:c r="H28" s="105"/>
      <x:c r="I28" s="105"/>
      <x:c r="J28" s="105"/>
      <x:c r="K28" s="105"/>
      <x:c r="L28" s="105"/>
      <x:c r="M28" s="105"/>
      <x:c r="N28" s="105"/>
      <x:c r="O28" s="105"/>
      <x:c r="P28" s="105"/>
      <x:c r="Q28" s="105"/>
      <x:c r="R28" s="105"/>
      <x:c r="S28" s="105"/>
      <x:c r="T28" s="105"/>
      <x:c r="U28" s="105"/>
    </x:row>
    <x:row r="29">
      <x:c r="A29" s="105"/>
      <x:c r="B29" s="105"/>
      <x:c r="C29" s="105"/>
      <x:c r="D29" s="105"/>
      <x:c r="E29" s="105"/>
      <x:c r="F29" s="105"/>
      <x:c r="G29" s="105"/>
      <x:c r="H29" s="105"/>
      <x:c r="I29" s="105"/>
      <x:c r="J29" s="105"/>
      <x:c r="K29" s="105"/>
      <x:c r="L29" s="105"/>
      <x:c r="M29" s="105"/>
      <x:c r="N29" s="105"/>
      <x:c r="O29" s="105"/>
      <x:c r="P29" s="105"/>
      <x:c r="Q29" s="105"/>
      <x:c r="R29" s="105"/>
      <x:c r="S29" s="105"/>
      <x:c r="T29" s="105"/>
      <x:c r="U29" s="105"/>
    </x:row>
    <x:row r="30">
      <x:c r="A30" s="105"/>
      <x:c r="B30" s="105"/>
      <x:c r="C30" s="105"/>
      <x:c r="D30" s="105"/>
      <x:c r="E30" s="105"/>
      <x:c r="F30" s="105"/>
      <x:c r="G30" s="105"/>
      <x:c r="H30" s="105"/>
      <x:c r="I30" s="105"/>
      <x:c r="J30" s="105"/>
      <x:c r="K30" s="105"/>
      <x:c r="L30" s="105"/>
      <x:c r="M30" s="105"/>
      <x:c r="N30" s="105"/>
      <x:c r="O30" s="105"/>
      <x:c r="P30" s="105"/>
      <x:c r="Q30" s="105"/>
      <x:c r="R30" s="105"/>
      <x:c r="S30" s="105"/>
      <x:c r="T30" s="105"/>
      <x:c r="U30" s="105"/>
    </x:row>
    <x:row r="31">
      <x:c r="A31" s="105"/>
      <x:c r="B31" s="105"/>
      <x:c r="C31" s="105"/>
      <x:c r="D31" s="105"/>
      <x:c r="E31" s="105"/>
      <x:c r="F31" s="105"/>
      <x:c r="G31" s="105"/>
      <x:c r="H31" s="105"/>
      <x:c r="I31" s="105"/>
      <x:c r="J31" s="105"/>
      <x:c r="K31" s="105"/>
      <x:c r="L31" s="105"/>
      <x:c r="M31" s="105"/>
      <x:c r="N31" s="105"/>
      <x:c r="O31" s="105"/>
      <x:c r="P31" s="105"/>
      <x:c r="Q31" s="105"/>
      <x:c r="R31" s="105"/>
      <x:c r="S31" s="105"/>
      <x:c r="T31" s="105"/>
      <x:c r="U31" s="105"/>
    </x:row>
    <x:row r="32">
      <x:c r="A32" s="105"/>
      <x:c r="B32" s="105"/>
      <x:c r="C32" s="105"/>
      <x:c r="D32" s="105"/>
      <x:c r="E32" s="105"/>
      <x:c r="F32" s="105"/>
      <x:c r="G32" s="105"/>
      <x:c r="H32" s="105"/>
      <x:c r="I32" s="105"/>
      <x:c r="J32" s="105"/>
      <x:c r="K32" s="105"/>
      <x:c r="L32" s="105"/>
      <x:c r="M32" s="105"/>
      <x:c r="N32" s="105"/>
      <x:c r="O32" s="105"/>
      <x:c r="P32" s="105"/>
      <x:c r="Q32" s="105"/>
      <x:c r="R32" s="105"/>
      <x:c r="S32" s="105"/>
      <x:c r="T32" s="105"/>
      <x:c r="U32" s="105"/>
    </x:row>
    <x:row r="33">
      <x:c r="A33" s="105"/>
      <x:c r="B33" s="105"/>
      <x:c r="C33" s="105"/>
      <x:c r="D33" s="105"/>
      <x:c r="E33" s="105"/>
      <x:c r="F33" s="105"/>
      <x:c r="G33" s="105"/>
      <x:c r="H33" s="105"/>
      <x:c r="I33" s="105"/>
      <x:c r="J33" s="105"/>
      <x:c r="K33" s="105"/>
      <x:c r="L33" s="105"/>
      <x:c r="M33" s="105"/>
      <x:c r="N33" s="105"/>
      <x:c r="O33" s="105"/>
      <x:c r="P33" s="105"/>
      <x:c r="Q33" s="105"/>
      <x:c r="R33" s="105"/>
      <x:c r="S33" s="105"/>
      <x:c r="T33" s="105"/>
      <x:c r="U33" s="105"/>
    </x:row>
    <x:row r="34">
      <x:c r="A34" s="105"/>
      <x:c r="B34" s="105"/>
      <x:c r="C34" s="105"/>
      <x:c r="D34" s="105"/>
      <x:c r="E34" s="105"/>
      <x:c r="F34" s="105"/>
      <x:c r="G34" s="105"/>
      <x:c r="H34" s="105"/>
      <x:c r="I34" s="105"/>
      <x:c r="J34" s="105"/>
      <x:c r="K34" s="105"/>
      <x:c r="L34" s="105"/>
      <x:c r="M34" s="105"/>
      <x:c r="N34" s="105"/>
      <x:c r="O34" s="105"/>
      <x:c r="P34" s="105"/>
      <x:c r="Q34" s="105"/>
      <x:c r="R34" s="105"/>
      <x:c r="S34" s="105"/>
      <x:c r="T34" s="105"/>
      <x:c r="U34" s="105"/>
    </x:row>
    <x:row r="35">
      <x:c r="A35" s="105"/>
      <x:c r="B35" s="105"/>
      <x:c r="C35" s="105"/>
      <x:c r="D35" s="105"/>
      <x:c r="E35" s="105"/>
      <x:c r="F35" s="105"/>
      <x:c r="G35" s="105"/>
      <x:c r="H35" s="105"/>
      <x:c r="I35" s="105"/>
      <x:c r="J35" s="105"/>
      <x:c r="K35" s="105"/>
      <x:c r="L35" s="105"/>
      <x:c r="M35" s="105"/>
      <x:c r="N35" s="105"/>
      <x:c r="O35" s="105"/>
      <x:c r="P35" s="105"/>
      <x:c r="Q35" s="105"/>
      <x:c r="R35" s="105"/>
      <x:c r="S35" s="105"/>
      <x:c r="T35" s="105"/>
      <x:c r="U35" s="105"/>
    </x:row>
    <x:row r="36">
      <x:c r="A36" s="105"/>
      <x:c r="B36" s="105"/>
      <x:c r="C36" s="105"/>
      <x:c r="D36" s="105"/>
      <x:c r="E36" s="105"/>
      <x:c r="F36" s="105"/>
      <x:c r="G36" s="105"/>
      <x:c r="H36" s="105"/>
      <x:c r="I36" s="105"/>
      <x:c r="J36" s="105"/>
      <x:c r="K36" s="105"/>
      <x:c r="L36" s="105"/>
      <x:c r="M36" s="105"/>
      <x:c r="N36" s="105"/>
      <x:c r="O36" s="105"/>
      <x:c r="P36" s="105"/>
      <x:c r="Q36" s="105"/>
      <x:c r="R36" s="105"/>
      <x:c r="S36" s="105"/>
      <x:c r="T36" s="105"/>
      <x:c r="U36" s="105"/>
    </x:row>
    <x:row r="37">
      <x:c r="A37" s="105"/>
      <x:c r="B37" s="105"/>
      <x:c r="C37" s="105"/>
      <x:c r="D37" s="105"/>
      <x:c r="E37" s="105"/>
      <x:c r="F37" s="105"/>
      <x:c r="G37" s="105"/>
      <x:c r="H37" s="105"/>
      <x:c r="I37" s="105"/>
      <x:c r="J37" s="105"/>
      <x:c r="K37" s="105"/>
      <x:c r="L37" s="105"/>
      <x:c r="M37" s="105"/>
      <x:c r="N37" s="105"/>
      <x:c r="O37" s="105"/>
      <x:c r="P37" s="105"/>
      <x:c r="Q37" s="105"/>
      <x:c r="R37" s="105"/>
      <x:c r="S37" s="105"/>
      <x:c r="T37" s="105"/>
      <x:c r="U37" s="105"/>
    </x:row>
    <x:row r="38">
      <x:c r="A38" s="105"/>
      <x:c r="B38" s="105"/>
      <x:c r="C38" s="105"/>
      <x:c r="D38" s="105"/>
      <x:c r="E38" s="105"/>
      <x:c r="F38" s="105"/>
      <x:c r="G38" s="105"/>
      <x:c r="H38" s="105"/>
      <x:c r="I38" s="105"/>
      <x:c r="J38" s="105"/>
      <x:c r="K38" s="105"/>
      <x:c r="L38" s="105"/>
      <x:c r="M38" s="105"/>
      <x:c r="N38" s="105"/>
      <x:c r="O38" s="105"/>
      <x:c r="P38" s="105"/>
      <x:c r="Q38" s="105"/>
      <x:c r="R38" s="105"/>
      <x:c r="S38" s="105"/>
      <x:c r="T38" s="105"/>
      <x:c r="U38" s="105"/>
    </x:row>
    <x:row r="39">
      <x:c r="A39" s="105"/>
      <x:c r="B39" s="105"/>
      <x:c r="C39" s="105"/>
      <x:c r="D39" s="105"/>
      <x:c r="E39" s="105"/>
      <x:c r="F39" s="105"/>
      <x:c r="G39" s="105"/>
      <x:c r="H39" s="105"/>
      <x:c r="I39" s="105"/>
      <x:c r="J39" s="105"/>
      <x:c r="K39" s="105"/>
      <x:c r="L39" s="105"/>
      <x:c r="M39" s="105"/>
      <x:c r="N39" s="105"/>
      <x:c r="O39" s="105"/>
      <x:c r="P39" s="105"/>
      <x:c r="Q39" s="105"/>
      <x:c r="R39" s="105"/>
      <x:c r="S39" s="105"/>
      <x:c r="T39" s="105"/>
      <x:c r="U39" s="105"/>
    </x:row>
    <x:row r="40">
      <x:c r="A40" s="105"/>
      <x:c r="B40" s="105"/>
      <x:c r="C40" s="105"/>
      <x:c r="D40" s="105"/>
      <x:c r="E40" s="105"/>
      <x:c r="F40" s="105"/>
      <x:c r="G40" s="105"/>
      <x:c r="H40" s="105"/>
      <x:c r="I40" s="105"/>
      <x:c r="J40" s="105"/>
      <x:c r="K40" s="105"/>
      <x:c r="L40" s="105"/>
      <x:c r="M40" s="105"/>
      <x:c r="N40" s="105"/>
      <x:c r="O40" s="105"/>
      <x:c r="P40" s="105"/>
      <x:c r="Q40" s="105"/>
      <x:c r="R40" s="105"/>
      <x:c r="S40" s="105"/>
      <x:c r="T40" s="105"/>
      <x:c r="U40" s="105"/>
    </x:row>
    <x:row r="41">
      <x:c r="A41" s="105"/>
      <x:c r="B41" s="105"/>
      <x:c r="C41" s="105"/>
      <x:c r="D41" s="105"/>
      <x:c r="E41" s="105"/>
      <x:c r="F41" s="105"/>
      <x:c r="G41" s="105"/>
      <x:c r="H41" s="105"/>
      <x:c r="I41" s="105"/>
      <x:c r="J41" s="105"/>
      <x:c r="K41" s="105"/>
      <x:c r="L41" s="105"/>
      <x:c r="M41" s="105"/>
      <x:c r="N41" s="105"/>
      <x:c r="O41" s="105"/>
      <x:c r="P41" s="105"/>
      <x:c r="Q41" s="105"/>
      <x:c r="R41" s="105"/>
      <x:c r="S41" s="105"/>
      <x:c r="T41" s="105"/>
      <x:c r="U41" s="105"/>
    </x:row>
    <x:row r="42">
      <x:c r="A42" s="105"/>
      <x:c r="B42" s="105"/>
      <x:c r="C42" s="105"/>
      <x:c r="D42" s="105"/>
      <x:c r="E42" s="105"/>
      <x:c r="F42" s="105"/>
      <x:c r="G42" s="105"/>
      <x:c r="H42" s="105"/>
      <x:c r="I42" s="105"/>
      <x:c r="J42" s="105"/>
      <x:c r="K42" s="105"/>
      <x:c r="L42" s="105"/>
      <x:c r="M42" s="105"/>
      <x:c r="N42" s="105"/>
      <x:c r="O42" s="105"/>
      <x:c r="P42" s="105"/>
      <x:c r="Q42" s="105"/>
      <x:c r="R42" s="105"/>
      <x:c r="S42" s="105"/>
      <x:c r="T42" s="105"/>
      <x:c r="U42" s="105"/>
    </x:row>
    <x:row r="43">
      <x:c r="A43" s="105"/>
      <x:c r="B43" s="105"/>
      <x:c r="C43" s="105"/>
      <x:c r="D43" s="105"/>
      <x:c r="E43" s="105"/>
      <x:c r="F43" s="105"/>
      <x:c r="G43" s="105"/>
      <x:c r="H43" s="105"/>
      <x:c r="I43" s="105"/>
      <x:c r="J43" s="105"/>
      <x:c r="K43" s="105"/>
      <x:c r="L43" s="105"/>
      <x:c r="M43" s="105"/>
      <x:c r="N43" s="105"/>
      <x:c r="O43" s="105"/>
      <x:c r="P43" s="105"/>
      <x:c r="Q43" s="105"/>
      <x:c r="R43" s="105"/>
      <x:c r="S43" s="105"/>
      <x:c r="T43" s="105"/>
      <x:c r="U43" s="105"/>
    </x:row>
    <x:row r="44">
      <x:c r="A44" s="105"/>
      <x:c r="B44" s="105"/>
      <x:c r="C44" s="105"/>
      <x:c r="D44" s="105"/>
      <x:c r="E44" s="105"/>
      <x:c r="F44" s="105"/>
      <x:c r="G44" s="105"/>
      <x:c r="H44" s="105"/>
      <x:c r="I44" s="105"/>
      <x:c r="J44" s="105"/>
      <x:c r="K44" s="105"/>
      <x:c r="L44" s="105"/>
      <x:c r="M44" s="105"/>
      <x:c r="N44" s="105"/>
      <x:c r="O44" s="105"/>
      <x:c r="P44" s="105"/>
      <x:c r="Q44" s="105"/>
      <x:c r="R44" s="105"/>
      <x:c r="S44" s="105"/>
      <x:c r="T44" s="105"/>
      <x:c r="U44" s="105"/>
    </x:row>
    <x:row r="45">
      <x:c r="A45" s="105"/>
      <x:c r="B45" s="105"/>
      <x:c r="C45" s="105"/>
      <x:c r="D45" s="105"/>
      <x:c r="E45" s="105"/>
      <x:c r="F45" s="105"/>
      <x:c r="G45" s="105"/>
      <x:c r="H45" s="105"/>
      <x:c r="I45" s="105"/>
      <x:c r="J45" s="105"/>
      <x:c r="K45" s="105"/>
      <x:c r="L45" s="105"/>
      <x:c r="M45" s="105"/>
      <x:c r="N45" s="105"/>
      <x:c r="O45" s="105"/>
      <x:c r="P45" s="105"/>
      <x:c r="Q45" s="105"/>
      <x:c r="R45" s="105"/>
      <x:c r="S45" s="105"/>
      <x:c r="T45" s="105"/>
      <x:c r="U45" s="105"/>
    </x:row>
    <x:row r="46">
      <x:c r="A46" s="105"/>
      <x:c r="B46" s="105"/>
      <x:c r="C46" s="105"/>
      <x:c r="D46" s="105"/>
      <x:c r="E46" s="105"/>
      <x:c r="F46" s="105"/>
      <x:c r="G46" s="105"/>
      <x:c r="H46" s="105"/>
      <x:c r="I46" s="105"/>
      <x:c r="J46" s="105"/>
      <x:c r="K46" s="105"/>
      <x:c r="L46" s="105"/>
      <x:c r="M46" s="105"/>
      <x:c r="N46" s="105"/>
      <x:c r="O46" s="105"/>
      <x:c r="P46" s="105"/>
      <x:c r="Q46" s="105"/>
      <x:c r="R46" s="105"/>
      <x:c r="S46" s="105"/>
      <x:c r="T46" s="105"/>
      <x:c r="U46" s="105"/>
    </x:row>
    <x:row r="47">
      <x:c r="A47" s="105"/>
      <x:c r="B47" s="105"/>
      <x:c r="C47" s="105"/>
      <x:c r="D47" s="105"/>
      <x:c r="E47" s="105"/>
      <x:c r="F47" s="105"/>
      <x:c r="G47" s="105"/>
      <x:c r="H47" s="105"/>
      <x:c r="I47" s="105"/>
      <x:c r="J47" s="105"/>
      <x:c r="K47" s="105"/>
      <x:c r="L47" s="105"/>
      <x:c r="M47" s="105"/>
      <x:c r="N47" s="105"/>
      <x:c r="O47" s="105"/>
      <x:c r="P47" s="105"/>
      <x:c r="Q47" s="105"/>
      <x:c r="R47" s="105"/>
      <x:c r="S47" s="105"/>
      <x:c r="T47" s="105"/>
      <x:c r="U47" s="105"/>
    </x:row>
    <x:row r="48">
      <x:c r="A48" s="105"/>
      <x:c r="B48" s="105"/>
      <x:c r="C48" s="105"/>
      <x:c r="D48" s="105"/>
      <x:c r="E48" s="105"/>
      <x:c r="F48" s="105"/>
      <x:c r="G48" s="105"/>
      <x:c r="H48" s="105"/>
      <x:c r="I48" s="105"/>
      <x:c r="J48" s="105"/>
      <x:c r="K48" s="105"/>
      <x:c r="L48" s="105"/>
      <x:c r="M48" s="105"/>
      <x:c r="N48" s="105"/>
      <x:c r="O48" s="105"/>
      <x:c r="P48" s="105"/>
      <x:c r="Q48" s="105"/>
      <x:c r="R48" s="105"/>
      <x:c r="S48" s="105"/>
      <x:c r="T48" s="105"/>
      <x:c r="U48" s="105"/>
    </x:row>
    <x:row r="49">
      <x:c r="A49" s="105"/>
      <x:c r="B49" s="105"/>
      <x:c r="C49" s="105"/>
      <x:c r="D49" s="105"/>
      <x:c r="E49" s="105"/>
      <x:c r="F49" s="105"/>
      <x:c r="G49" s="105"/>
      <x:c r="H49" s="105"/>
      <x:c r="I49" s="105"/>
      <x:c r="J49" s="105"/>
      <x:c r="K49" s="105"/>
      <x:c r="L49" s="105"/>
      <x:c r="M49" s="105"/>
      <x:c r="N49" s="105"/>
      <x:c r="O49" s="105"/>
      <x:c r="P49" s="105"/>
      <x:c r="Q49" s="105"/>
      <x:c r="R49" s="105"/>
      <x:c r="S49" s="105"/>
      <x:c r="T49" s="105"/>
      <x:c r="U49" s="105"/>
    </x:row>
    <x:row r="50">
      <x:c r="A50" s="105"/>
      <x:c r="B50" s="105"/>
      <x:c r="C50" s="105"/>
      <x:c r="D50" s="105"/>
      <x:c r="E50" s="105"/>
      <x:c r="F50" s="105"/>
      <x:c r="G50" s="105"/>
      <x:c r="H50" s="105"/>
      <x:c r="I50" s="105"/>
      <x:c r="J50" s="105"/>
      <x:c r="K50" s="105"/>
      <x:c r="L50" s="105"/>
      <x:c r="M50" s="105"/>
      <x:c r="N50" s="105"/>
      <x:c r="O50" s="105"/>
      <x:c r="P50" s="105"/>
      <x:c r="Q50" s="105"/>
      <x:c r="R50" s="105"/>
      <x:c r="S50" s="105"/>
      <x:c r="T50" s="105"/>
      <x:c r="U50" s="105"/>
    </x:row>
    <x:row r="51">
      <x:c r="A51" s="105"/>
      <x:c r="B51" s="105"/>
      <x:c r="C51" s="105"/>
      <x:c r="D51" s="105"/>
      <x:c r="E51" s="105"/>
      <x:c r="F51" s="105"/>
      <x:c r="G51" s="105"/>
      <x:c r="H51" s="105"/>
      <x:c r="I51" s="105"/>
      <x:c r="J51" s="105"/>
      <x:c r="K51" s="105"/>
      <x:c r="L51" s="105"/>
      <x:c r="M51" s="105"/>
      <x:c r="N51" s="105"/>
      <x:c r="O51" s="105"/>
      <x:c r="P51" s="105"/>
      <x:c r="Q51" s="105"/>
      <x:c r="R51" s="105"/>
      <x:c r="S51" s="105"/>
      <x:c r="T51" s="105"/>
      <x:c r="U51" s="105"/>
    </x:row>
    <x:row r="52">
      <x:c r="A52" s="105"/>
      <x:c r="B52" s="105"/>
      <x:c r="C52" s="105"/>
      <x:c r="D52" s="105"/>
      <x:c r="E52" s="105"/>
      <x:c r="F52" s="105"/>
      <x:c r="G52" s="105"/>
      <x:c r="H52" s="105"/>
      <x:c r="I52" s="105"/>
      <x:c r="J52" s="105"/>
      <x:c r="K52" s="105"/>
      <x:c r="L52" s="105"/>
      <x:c r="M52" s="105"/>
      <x:c r="N52" s="105"/>
      <x:c r="O52" s="105"/>
      <x:c r="P52" s="105"/>
      <x:c r="Q52" s="105"/>
      <x:c r="R52" s="105"/>
      <x:c r="S52" s="105"/>
      <x:c r="T52" s="105"/>
      <x:c r="U52" s="105"/>
    </x:row>
    <x:row r="53">
      <x:c r="A53" s="105"/>
      <x:c r="B53" s="105"/>
      <x:c r="C53" s="105"/>
      <x:c r="D53" s="105"/>
      <x:c r="E53" s="105"/>
      <x:c r="F53" s="105"/>
      <x:c r="G53" s="105"/>
      <x:c r="H53" s="105"/>
      <x:c r="I53" s="105"/>
      <x:c r="J53" s="105"/>
      <x:c r="K53" s="105"/>
      <x:c r="L53" s="105"/>
      <x:c r="M53" s="105"/>
      <x:c r="N53" s="105"/>
      <x:c r="O53" s="105"/>
      <x:c r="P53" s="105"/>
      <x:c r="Q53" s="105"/>
      <x:c r="R53" s="105"/>
      <x:c r="S53" s="105"/>
      <x:c r="T53" s="105"/>
      <x:c r="U53" s="105"/>
    </x:row>
    <x:row r="54">
      <x:c r="A54" s="105"/>
      <x:c r="B54" s="105"/>
      <x:c r="C54" s="105"/>
      <x:c r="D54" s="105"/>
      <x:c r="E54" s="105"/>
      <x:c r="F54" s="105"/>
      <x:c r="G54" s="105"/>
      <x:c r="H54" s="105"/>
      <x:c r="I54" s="105"/>
      <x:c r="J54" s="105"/>
      <x:c r="K54" s="105"/>
      <x:c r="L54" s="105"/>
      <x:c r="M54" s="105"/>
      <x:c r="N54" s="105"/>
      <x:c r="O54" s="105"/>
      <x:c r="P54" s="105"/>
      <x:c r="Q54" s="105"/>
      <x:c r="R54" s="105"/>
      <x:c r="S54" s="105"/>
      <x:c r="T54" s="105"/>
      <x:c r="U54" s="105"/>
    </x:row>
    <x:row r="55">
      <x:c r="A55" s="105"/>
      <x:c r="B55" s="105"/>
      <x:c r="C55" s="105"/>
      <x:c r="D55" s="105"/>
      <x:c r="E55" s="105"/>
      <x:c r="F55" s="105"/>
      <x:c r="G55" s="105"/>
      <x:c r="H55" s="105"/>
      <x:c r="I55" s="105"/>
      <x:c r="J55" s="105"/>
      <x:c r="K55" s="105"/>
      <x:c r="L55" s="105"/>
      <x:c r="M55" s="105"/>
      <x:c r="N55" s="105"/>
      <x:c r="O55" s="105"/>
      <x:c r="P55" s="105"/>
      <x:c r="Q55" s="105"/>
      <x:c r="R55" s="105"/>
      <x:c r="S55" s="105"/>
      <x:c r="T55" s="105"/>
      <x:c r="U55" s="105"/>
    </x:row>
    <x:row r="56">
      <x:c r="A56" s="105"/>
      <x:c r="B56" s="105"/>
      <x:c r="C56" s="105"/>
      <x:c r="D56" s="105"/>
      <x:c r="E56" s="105"/>
      <x:c r="F56" s="105"/>
      <x:c r="G56" s="105"/>
      <x:c r="H56" s="105"/>
      <x:c r="I56" s="105"/>
      <x:c r="J56" s="105"/>
      <x:c r="K56" s="105"/>
      <x:c r="L56" s="105"/>
      <x:c r="M56" s="105"/>
      <x:c r="N56" s="105"/>
      <x:c r="O56" s="105"/>
      <x:c r="P56" s="105"/>
      <x:c r="Q56" s="105"/>
      <x:c r="R56" s="105"/>
      <x:c r="S56" s="105"/>
      <x:c r="T56" s="105"/>
      <x:c r="U56" s="105"/>
    </x:row>
    <x:row r="57">
      <x:c r="A57" s="105"/>
      <x:c r="B57" s="105"/>
      <x:c r="C57" s="105"/>
      <x:c r="D57" s="105"/>
      <x:c r="E57" s="105"/>
      <x:c r="F57" s="105"/>
      <x:c r="G57" s="105"/>
      <x:c r="H57" s="105"/>
      <x:c r="I57" s="105"/>
      <x:c r="J57" s="105"/>
      <x:c r="K57" s="105"/>
      <x:c r="L57" s="105"/>
      <x:c r="M57" s="105"/>
      <x:c r="N57" s="105"/>
      <x:c r="O57" s="105"/>
      <x:c r="P57" s="105"/>
      <x:c r="Q57" s="105"/>
      <x:c r="R57" s="105"/>
      <x:c r="S57" s="105"/>
      <x:c r="T57" s="105"/>
      <x:c r="U57" s="105"/>
    </x:row>
    <x:row r="58">
      <x:c r="A58" s="105"/>
      <x:c r="B58" s="105"/>
      <x:c r="C58" s="105"/>
      <x:c r="D58" s="105"/>
      <x:c r="E58" s="105"/>
      <x:c r="F58" s="105"/>
      <x:c r="G58" s="105"/>
      <x:c r="H58" s="105"/>
      <x:c r="I58" s="105"/>
      <x:c r="J58" s="105"/>
      <x:c r="K58" s="105"/>
      <x:c r="L58" s="105"/>
      <x:c r="M58" s="105"/>
      <x:c r="N58" s="105"/>
      <x:c r="O58" s="105"/>
      <x:c r="P58" s="105"/>
      <x:c r="Q58" s="105"/>
      <x:c r="R58" s="105"/>
      <x:c r="S58" s="105"/>
      <x:c r="T58" s="105"/>
      <x:c r="U58" s="105"/>
    </x:row>
    <x:row r="59">
      <x:c r="A59" s="105"/>
      <x:c r="B59" s="105"/>
      <x:c r="C59" s="105"/>
      <x:c r="D59" s="105"/>
      <x:c r="E59" s="105"/>
      <x:c r="F59" s="105"/>
      <x:c r="G59" s="105"/>
      <x:c r="H59" s="105"/>
      <x:c r="I59" s="105"/>
      <x:c r="J59" s="105"/>
      <x:c r="K59" s="105"/>
      <x:c r="L59" s="105"/>
      <x:c r="M59" s="105"/>
      <x:c r="N59" s="105"/>
      <x:c r="O59" s="105"/>
      <x:c r="P59" s="105"/>
      <x:c r="Q59" s="105"/>
      <x:c r="R59" s="105"/>
      <x:c r="S59" s="105"/>
      <x:c r="T59" s="105"/>
      <x:c r="U59" s="105"/>
    </x:row>
    <x:row r="60">
      <x:c r="A60" s="105"/>
      <x:c r="B60" s="105"/>
      <x:c r="C60" s="105"/>
      <x:c r="D60" s="105"/>
      <x:c r="E60" s="105"/>
      <x:c r="F60" s="105"/>
      <x:c r="G60" s="105"/>
      <x:c r="H60" s="105"/>
      <x:c r="I60" s="105"/>
      <x:c r="J60" s="105"/>
      <x:c r="K60" s="105"/>
      <x:c r="L60" s="105"/>
      <x:c r="M60" s="105"/>
      <x:c r="N60" s="105"/>
      <x:c r="O60" s="105"/>
      <x:c r="P60" s="105"/>
      <x:c r="Q60" s="105"/>
      <x:c r="R60" s="105"/>
      <x:c r="S60" s="105"/>
      <x:c r="T60" s="105"/>
      <x:c r="U60" s="105"/>
    </x:row>
    <x:row r="61">
      <x:c r="A61" s="105"/>
      <x:c r="B61" s="105"/>
      <x:c r="C61" s="105"/>
      <x:c r="D61" s="105"/>
      <x:c r="E61" s="105"/>
      <x:c r="F61" s="105"/>
      <x:c r="G61" s="105"/>
      <x:c r="H61" s="105"/>
      <x:c r="I61" s="105"/>
      <x:c r="J61" s="105"/>
      <x:c r="K61" s="105"/>
      <x:c r="L61" s="105"/>
      <x:c r="M61" s="105"/>
      <x:c r="N61" s="105"/>
      <x:c r="O61" s="105"/>
      <x:c r="P61" s="105"/>
      <x:c r="Q61" s="105"/>
      <x:c r="R61" s="105"/>
      <x:c r="S61" s="105"/>
      <x:c r="T61" s="105"/>
      <x:c r="U61" s="105"/>
    </x:row>
    <x:row r="62">
      <x:c r="A62" s="105"/>
      <x:c r="B62" s="105"/>
      <x:c r="C62" s="105"/>
      <x:c r="D62" s="105"/>
      <x:c r="E62" s="105"/>
      <x:c r="F62" s="105"/>
      <x:c r="G62" s="105"/>
      <x:c r="H62" s="105"/>
      <x:c r="I62" s="105"/>
      <x:c r="J62" s="105"/>
      <x:c r="K62" s="105"/>
      <x:c r="L62" s="105"/>
      <x:c r="M62" s="105"/>
      <x:c r="N62" s="105"/>
      <x:c r="O62" s="105"/>
      <x:c r="P62" s="105"/>
      <x:c r="Q62" s="105"/>
      <x:c r="R62" s="105"/>
      <x:c r="S62" s="105"/>
      <x:c r="T62" s="105"/>
      <x:c r="U62" s="105"/>
    </x:row>
    <x:row r="63">
      <x:c r="A63" s="105"/>
      <x:c r="B63" s="105"/>
      <x:c r="C63" s="105"/>
      <x:c r="D63" s="105"/>
      <x:c r="E63" s="105"/>
      <x:c r="F63" s="105"/>
      <x:c r="G63" s="105"/>
      <x:c r="H63" s="105"/>
      <x:c r="I63" s="105"/>
      <x:c r="J63" s="105"/>
      <x:c r="K63" s="105"/>
      <x:c r="L63" s="105"/>
      <x:c r="M63" s="105"/>
      <x:c r="N63" s="105"/>
      <x:c r="O63" s="105"/>
      <x:c r="P63" s="105"/>
      <x:c r="Q63" s="105"/>
      <x:c r="R63" s="105"/>
      <x:c r="S63" s="105"/>
      <x:c r="T63" s="105"/>
      <x:c r="U63" s="105"/>
    </x:row>
    <x:row r="64">
      <x:c r="A64" s="105"/>
      <x:c r="B64" s="105"/>
      <x:c r="C64" s="105"/>
      <x:c r="D64" s="105"/>
      <x:c r="E64" s="105"/>
      <x:c r="F64" s="105"/>
      <x:c r="G64" s="105"/>
      <x:c r="H64" s="105"/>
      <x:c r="I64" s="105"/>
      <x:c r="J64" s="105"/>
      <x:c r="K64" s="105"/>
      <x:c r="L64" s="105"/>
      <x:c r="M64" s="105"/>
      <x:c r="N64" s="105"/>
      <x:c r="O64" s="105"/>
      <x:c r="P64" s="105"/>
      <x:c r="Q64" s="105"/>
      <x:c r="R64" s="105"/>
      <x:c r="S64" s="105"/>
      <x:c r="T64" s="105"/>
      <x:c r="U64" s="105"/>
    </x:row>
    <x:row r="65">
      <x:c r="A65" s="105"/>
      <x:c r="B65" s="105"/>
      <x:c r="C65" s="105"/>
      <x:c r="D65" s="105"/>
      <x:c r="E65" s="105"/>
      <x:c r="F65" s="105"/>
      <x:c r="G65" s="105"/>
      <x:c r="H65" s="105"/>
      <x:c r="I65" s="105"/>
      <x:c r="J65" s="105"/>
      <x:c r="K65" s="105"/>
      <x:c r="L65" s="105"/>
      <x:c r="M65" s="105"/>
      <x:c r="N65" s="105"/>
      <x:c r="O65" s="105"/>
      <x:c r="P65" s="105"/>
      <x:c r="Q65" s="105"/>
      <x:c r="R65" s="105"/>
      <x:c r="S65" s="105"/>
      <x:c r="T65" s="105"/>
      <x:c r="U65" s="105"/>
    </x:row>
    <x:row r="66">
      <x:c r="A66" s="105"/>
      <x:c r="B66" s="105"/>
      <x:c r="C66" s="105"/>
      <x:c r="D66" s="105"/>
      <x:c r="E66" s="105"/>
      <x:c r="F66" s="105"/>
      <x:c r="G66" s="105"/>
      <x:c r="H66" s="105"/>
      <x:c r="I66" s="105"/>
      <x:c r="J66" s="105"/>
      <x:c r="K66" s="105"/>
      <x:c r="L66" s="105"/>
      <x:c r="M66" s="105"/>
      <x:c r="N66" s="105"/>
      <x:c r="O66" s="105"/>
      <x:c r="P66" s="105"/>
      <x:c r="Q66" s="105"/>
      <x:c r="R66" s="105"/>
      <x:c r="S66" s="105"/>
      <x:c r="T66" s="105"/>
      <x:c r="U66" s="105"/>
    </x:row>
    <x:row r="67">
      <x:c r="A67" s="105"/>
      <x:c r="B67" s="105"/>
      <x:c r="C67" s="105"/>
      <x:c r="D67" s="105"/>
      <x:c r="E67" s="105"/>
      <x:c r="F67" s="105"/>
      <x:c r="G67" s="105"/>
      <x:c r="H67" s="105"/>
      <x:c r="I67" s="105"/>
      <x:c r="J67" s="105"/>
      <x:c r="K67" s="105"/>
      <x:c r="L67" s="105"/>
      <x:c r="M67" s="105"/>
      <x:c r="N67" s="105"/>
      <x:c r="O67" s="105"/>
      <x:c r="P67" s="105"/>
      <x:c r="Q67" s="105"/>
      <x:c r="R67" s="105"/>
      <x:c r="S67" s="105"/>
      <x:c r="T67" s="105"/>
      <x:c r="U67" s="105"/>
    </x:row>
    <x:row r="68">
      <x:c r="A68" s="105"/>
      <x:c r="B68" s="105"/>
      <x:c r="C68" s="105"/>
      <x:c r="D68" s="105"/>
      <x:c r="E68" s="105"/>
      <x:c r="F68" s="105"/>
      <x:c r="G68" s="105"/>
      <x:c r="H68" s="105"/>
      <x:c r="I68" s="105"/>
      <x:c r="J68" s="105"/>
      <x:c r="K68" s="105"/>
      <x:c r="L68" s="105"/>
      <x:c r="M68" s="105"/>
      <x:c r="N68" s="105"/>
      <x:c r="O68" s="105"/>
      <x:c r="P68" s="105"/>
      <x:c r="Q68" s="105"/>
      <x:c r="R68" s="105"/>
      <x:c r="S68" s="105"/>
      <x:c r="T68" s="105"/>
      <x:c r="U68" s="105"/>
    </x:row>
    <x:row r="69">
      <x:c r="A69" s="105"/>
      <x:c r="B69" s="105"/>
      <x:c r="C69" s="105"/>
      <x:c r="D69" s="105"/>
      <x:c r="E69" s="105"/>
      <x:c r="F69" s="105"/>
      <x:c r="G69" s="105"/>
      <x:c r="H69" s="105"/>
      <x:c r="I69" s="105"/>
      <x:c r="J69" s="105"/>
      <x:c r="K69" s="105"/>
      <x:c r="L69" s="105"/>
      <x:c r="M69" s="105"/>
      <x:c r="N69" s="105"/>
      <x:c r="O69" s="105"/>
      <x:c r="P69" s="105"/>
      <x:c r="Q69" s="105"/>
      <x:c r="R69" s="105"/>
      <x:c r="S69" s="105"/>
      <x:c r="T69" s="105"/>
      <x:c r="U69" s="105"/>
    </x:row>
    <x:row r="70">
      <x:c r="A70" s="105"/>
      <x:c r="B70" s="105"/>
      <x:c r="C70" s="105"/>
      <x:c r="D70" s="105"/>
      <x:c r="E70" s="105"/>
      <x:c r="F70" s="105"/>
      <x:c r="G70" s="105"/>
      <x:c r="H70" s="105"/>
      <x:c r="I70" s="105"/>
      <x:c r="J70" s="105"/>
      <x:c r="K70" s="105"/>
      <x:c r="L70" s="105"/>
      <x:c r="M70" s="105"/>
      <x:c r="N70" s="105"/>
      <x:c r="O70" s="105"/>
      <x:c r="P70" s="105"/>
      <x:c r="Q70" s="105"/>
      <x:c r="R70" s="105"/>
      <x:c r="S70" s="105"/>
      <x:c r="T70" s="105"/>
      <x:c r="U70" s="105"/>
    </x:row>
    <x:row r="71">
      <x:c r="A71" s="105"/>
      <x:c r="B71" s="105"/>
      <x:c r="C71" s="105"/>
      <x:c r="D71" s="105"/>
      <x:c r="E71" s="105"/>
      <x:c r="F71" s="105"/>
      <x:c r="G71" s="105"/>
      <x:c r="H71" s="105"/>
      <x:c r="I71" s="105"/>
      <x:c r="J71" s="105"/>
      <x:c r="K71" s="105"/>
      <x:c r="L71" s="105"/>
      <x:c r="M71" s="105"/>
      <x:c r="N71" s="105"/>
      <x:c r="O71" s="105"/>
      <x:c r="P71" s="105"/>
      <x:c r="Q71" s="105"/>
      <x:c r="R71" s="105"/>
      <x:c r="S71" s="105"/>
      <x:c r="T71" s="105"/>
      <x:c r="U71" s="105"/>
    </x:row>
    <x:row r="72">
      <x:c r="A72" s="105"/>
      <x:c r="B72" s="105"/>
      <x:c r="C72" s="105"/>
      <x:c r="D72" s="105"/>
      <x:c r="E72" s="105"/>
      <x:c r="F72" s="105"/>
      <x:c r="G72" s="105"/>
      <x:c r="H72" s="105"/>
      <x:c r="I72" s="105"/>
      <x:c r="J72" s="105"/>
      <x:c r="K72" s="105"/>
      <x:c r="L72" s="105"/>
      <x:c r="M72" s="105"/>
      <x:c r="N72" s="105"/>
      <x:c r="O72" s="105"/>
      <x:c r="P72" s="105"/>
      <x:c r="Q72" s="105"/>
      <x:c r="R72" s="105"/>
      <x:c r="S72" s="105"/>
      <x:c r="T72" s="105"/>
      <x:c r="U72" s="105"/>
    </x:row>
    <x:row r="73">
      <x:c r="A73" s="105"/>
      <x:c r="B73" s="105"/>
      <x:c r="C73" s="105"/>
      <x:c r="D73" s="105"/>
      <x:c r="E73" s="105"/>
      <x:c r="F73" s="105"/>
      <x:c r="G73" s="105"/>
      <x:c r="H73" s="105"/>
      <x:c r="I73" s="105"/>
      <x:c r="J73" s="105"/>
      <x:c r="K73" s="105"/>
      <x:c r="L73" s="105"/>
      <x:c r="M73" s="105"/>
      <x:c r="N73" s="105"/>
      <x:c r="O73" s="105"/>
      <x:c r="P73" s="105"/>
      <x:c r="Q73" s="105"/>
      <x:c r="R73" s="105"/>
      <x:c r="S73" s="105"/>
      <x:c r="T73" s="105"/>
      <x:c r="U73" s="105"/>
    </x:row>
    <x:row r="74">
      <x:c r="A74" s="105"/>
      <x:c r="B74" s="105"/>
      <x:c r="C74" s="105"/>
      <x:c r="D74" s="105"/>
      <x:c r="E74" s="105"/>
      <x:c r="F74" s="105"/>
      <x:c r="G74" s="105"/>
      <x:c r="H74" s="105"/>
      <x:c r="I74" s="105"/>
      <x:c r="J74" s="105"/>
      <x:c r="K74" s="105"/>
      <x:c r="L74" s="105"/>
      <x:c r="M74" s="105"/>
      <x:c r="N74" s="105"/>
      <x:c r="O74" s="105"/>
      <x:c r="P74" s="105"/>
      <x:c r="Q74" s="105"/>
      <x:c r="R74" s="105"/>
      <x:c r="S74" s="105"/>
      <x:c r="T74" s="105"/>
      <x:c r="U74" s="105"/>
    </x:row>
    <x:row r="75">
      <x:c r="A75" s="105"/>
      <x:c r="B75" s="105"/>
      <x:c r="C75" s="105"/>
      <x:c r="D75" s="105"/>
      <x:c r="E75" s="105"/>
      <x:c r="F75" s="105"/>
      <x:c r="G75" s="105"/>
      <x:c r="H75" s="105"/>
      <x:c r="I75" s="105"/>
      <x:c r="J75" s="105"/>
      <x:c r="K75" s="105"/>
      <x:c r="L75" s="105"/>
      <x:c r="M75" s="105"/>
      <x:c r="N75" s="105"/>
      <x:c r="O75" s="105"/>
      <x:c r="P75" s="105"/>
      <x:c r="Q75" s="105"/>
      <x:c r="R75" s="105"/>
      <x:c r="S75" s="105"/>
      <x:c r="T75" s="105"/>
      <x:c r="U75" s="105"/>
    </x:row>
    <x:row r="76">
      <x:c r="A76" s="105"/>
      <x:c r="B76" s="105"/>
      <x:c r="C76" s="105"/>
      <x:c r="D76" s="105"/>
      <x:c r="E76" s="105"/>
      <x:c r="F76" s="105"/>
      <x:c r="G76" s="105"/>
      <x:c r="H76" s="105"/>
      <x:c r="I76" s="105"/>
      <x:c r="J76" s="105"/>
      <x:c r="K76" s="105"/>
      <x:c r="L76" s="105"/>
      <x:c r="M76" s="105"/>
      <x:c r="N76" s="105"/>
      <x:c r="O76" s="105"/>
      <x:c r="P76" s="105"/>
      <x:c r="Q76" s="105"/>
      <x:c r="R76" s="105"/>
      <x:c r="S76" s="105"/>
      <x:c r="T76" s="105"/>
      <x:c r="U76" s="105"/>
    </x:row>
    <x:row r="77">
      <x:c r="A77" s="105"/>
      <x:c r="B77" s="105"/>
      <x:c r="C77" s="105"/>
      <x:c r="D77" s="105"/>
      <x:c r="E77" s="105"/>
      <x:c r="F77" s="105"/>
      <x:c r="G77" s="105"/>
      <x:c r="H77" s="105"/>
      <x:c r="I77" s="105"/>
      <x:c r="J77" s="105"/>
      <x:c r="K77" s="105"/>
      <x:c r="L77" s="105"/>
      <x:c r="M77" s="105"/>
      <x:c r="N77" s="105"/>
      <x:c r="O77" s="105"/>
      <x:c r="P77" s="105"/>
      <x:c r="Q77" s="105"/>
      <x:c r="R77" s="105"/>
      <x:c r="S77" s="105"/>
      <x:c r="T77" s="105"/>
      <x:c r="U77" s="105"/>
    </x:row>
    <x:row r="78">
      <x:c r="A78" s="105"/>
      <x:c r="B78" s="105"/>
      <x:c r="C78" s="105"/>
      <x:c r="D78" s="105"/>
      <x:c r="E78" s="105"/>
      <x:c r="F78" s="105"/>
      <x:c r="G78" s="105"/>
      <x:c r="H78" s="105"/>
      <x:c r="I78" s="105"/>
      <x:c r="J78" s="105"/>
      <x:c r="K78" s="105"/>
      <x:c r="L78" s="105"/>
      <x:c r="M78" s="105"/>
      <x:c r="N78" s="105"/>
      <x:c r="O78" s="105"/>
      <x:c r="P78" s="105"/>
      <x:c r="Q78" s="105"/>
      <x:c r="R78" s="105"/>
      <x:c r="S78" s="105"/>
      <x:c r="T78" s="105"/>
      <x:c r="U78" s="105"/>
    </x:row>
    <x:row r="79">
      <x:c r="A79" s="105"/>
      <x:c r="B79" s="105"/>
      <x:c r="C79" s="105"/>
      <x:c r="D79" s="105"/>
      <x:c r="E79" s="105"/>
      <x:c r="F79" s="105"/>
      <x:c r="G79" s="105"/>
      <x:c r="H79" s="105"/>
      <x:c r="I79" s="105"/>
      <x:c r="J79" s="105"/>
      <x:c r="K79" s="105"/>
      <x:c r="L79" s="105"/>
      <x:c r="M79" s="105"/>
      <x:c r="N79" s="105"/>
      <x:c r="O79" s="105"/>
      <x:c r="P79" s="105"/>
      <x:c r="Q79" s="105"/>
      <x:c r="R79" s="105"/>
      <x:c r="S79" s="105"/>
      <x:c r="T79" s="105"/>
      <x:c r="U79" s="105"/>
    </x:row>
    <x:row r="80">
      <x:c r="A80" s="105"/>
      <x:c r="B80" s="105"/>
      <x:c r="C80" s="105"/>
      <x:c r="D80" s="105"/>
      <x:c r="E80" s="105"/>
      <x:c r="F80" s="105"/>
      <x:c r="G80" s="105"/>
      <x:c r="H80" s="105"/>
      <x:c r="I80" s="105"/>
      <x:c r="J80" s="105"/>
      <x:c r="K80" s="105"/>
      <x:c r="L80" s="105"/>
      <x:c r="M80" s="105"/>
      <x:c r="N80" s="105"/>
      <x:c r="O80" s="105"/>
      <x:c r="P80" s="105"/>
      <x:c r="Q80" s="105"/>
      <x:c r="R80" s="105"/>
      <x:c r="S80" s="105"/>
      <x:c r="T80" s="105"/>
      <x:c r="U80" s="105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2" hidden="0" customWidth="1"/>
  </x:cols>
  <x:sheetData>
    <x:row r="1">
      <x:c r="A1" s="140" t="str">
        <x:v>Empire Level</x:v>
      </x:c>
      <x:c r="B1" s="140" t="str">
        <x:v>Rank</x:v>
      </x:c>
      <x:c r="C1" s="140" t="str">
        <x:v>Max Owned Hexes</x:v>
      </x:c>
      <x:c r="D1" s="140" t="str">
        <x:v>New Hex Capacity</x:v>
      </x:c>
      <x:c r="E1" s="140" t="str">
        <x:v>Buildings Unlocked This Level</x:v>
      </x:c>
      <x:c r="F1" s="140" t="str">
        <x:v>Cumulative Building Types</x:v>
      </x:c>
      <x:c r="G1" s="140" t="str">
        <x:v>Expected Avg Upgrade Stage</x:v>
      </x:c>
      <x:c r="H1" s="140" t="str">
        <x:v>Progression Note</x:v>
      </x:c>
      <x:c r="I1" s="105"/>
      <x:c r="J1" s="105"/>
      <x:c r="K1" s="105"/>
      <x:c r="L1" s="105"/>
      <x:c r="M1" s="105"/>
      <x:c r="N1" s="105"/>
      <x:c r="O1" s="105"/>
      <x:c r="P1" s="105"/>
      <x:c r="Q1" s="105"/>
      <x:c r="R1" s="105"/>
      <x:c r="S1" s="105"/>
      <x:c r="T1" s="105"/>
      <x:c r="U1" s="105"/>
    </x:row>
    <x:row r="2">
      <x:c r="A2" s="107" t="n">
        <x:v>1</x:v>
      </x:c>
      <x:c r="B2" s="107" t="str">
        <x:v>Humble</x:v>
      </x:c>
      <x:c r="C2" s="107" t="n">
        <x:v>1</x:v>
      </x:c>
      <x:c r="D2" s="107" t="n">
        <x:v>1</x:v>
      </x:c>
      <x:c r="E2" s="107" t="n">
        <x:v>2</x:v>
      </x:c>
      <x:c r="F2" s="107" t="n">
        <x:v>2</x:v>
      </x:c>
      <x:c r="G2" s="141" t="n">
        <x:v>1</x:v>
      </x:c>
      <x:c r="H2" s="107" t="str"/>
      <x:c r="I2" s="105"/>
      <x:c r="J2" s="105"/>
      <x:c r="K2" s="105"/>
      <x:c r="L2" s="105"/>
      <x:c r="M2" s="105"/>
      <x:c r="N2" s="105"/>
      <x:c r="O2" s="105"/>
      <x:c r="P2" s="105"/>
      <x:c r="Q2" s="105"/>
      <x:c r="R2" s="105"/>
      <x:c r="S2" s="105"/>
      <x:c r="T2" s="105"/>
      <x:c r="U2" s="105"/>
    </x:row>
    <x:row r="3">
      <x:c r="A3" s="107" t="n">
        <x:v>2</x:v>
      </x:c>
      <x:c r="B3" s="107" t="str">
        <x:v>Humble</x:v>
      </x:c>
      <x:c r="C3" s="107" t="n">
        <x:v>2</x:v>
      </x:c>
      <x:c r="D3" s="107" t="n">
        <x:v>1</x:v>
      </x:c>
      <x:c r="E3" s="107" t="n">
        <x:v>3</x:v>
      </x:c>
      <x:c r="F3" s="107" t="n">
        <x:v>5</x:v>
      </x:c>
      <x:c r="G3" s="141" t="n">
        <x:v>1</x:v>
      </x:c>
      <x:c r="H3" s="107" t="str"/>
      <x:c r="I3" s="105"/>
      <x:c r="J3" s="105"/>
      <x:c r="K3" s="105"/>
      <x:c r="L3" s="105"/>
      <x:c r="M3" s="105"/>
      <x:c r="N3" s="105"/>
      <x:c r="O3" s="105"/>
      <x:c r="P3" s="105"/>
      <x:c r="Q3" s="105"/>
      <x:c r="R3" s="105"/>
      <x:c r="S3" s="105"/>
      <x:c r="T3" s="105"/>
      <x:c r="U3" s="105"/>
    </x:row>
    <x:row r="4">
      <x:c r="A4" s="107" t="n">
        <x:v>3</x:v>
      </x:c>
      <x:c r="B4" s="107" t="str">
        <x:v>Humble</x:v>
      </x:c>
      <x:c r="C4" s="107" t="n">
        <x:v>4</x:v>
      </x:c>
      <x:c r="D4" s="107" t="n">
        <x:v>2</x:v>
      </x:c>
      <x:c r="E4" s="107" t="n">
        <x:v>3</x:v>
      </x:c>
      <x:c r="F4" s="107" t="n">
        <x:v>8</x:v>
      </x:c>
      <x:c r="G4" s="141" t="n">
        <x:v>1.35</x:v>
      </x:c>
      <x:c r="H4" s="107" t="str"/>
      <x:c r="I4" s="105"/>
      <x:c r="J4" s="105"/>
      <x:c r="K4" s="105"/>
      <x:c r="L4" s="105"/>
      <x:c r="M4" s="105"/>
      <x:c r="N4" s="105"/>
      <x:c r="O4" s="105"/>
      <x:c r="P4" s="105"/>
      <x:c r="Q4" s="105"/>
      <x:c r="R4" s="105"/>
      <x:c r="S4" s="105"/>
      <x:c r="T4" s="105"/>
      <x:c r="U4" s="105"/>
    </x:row>
    <x:row r="5">
      <x:c r="A5" s="107" t="n">
        <x:v>4</x:v>
      </x:c>
      <x:c r="B5" s="107" t="str">
        <x:v>Humble</x:v>
      </x:c>
      <x:c r="C5" s="107" t="n">
        <x:v>6</x:v>
      </x:c>
      <x:c r="D5" s="107" t="n">
        <x:v>2</x:v>
      </x:c>
      <x:c r="E5" s="107" t="n">
        <x:v>2</x:v>
      </x:c>
      <x:c r="F5" s="107" t="n">
        <x:v>10</x:v>
      </x:c>
      <x:c r="G5" s="141" t="n">
        <x:v>1.8</x:v>
      </x:c>
      <x:c r="H5" s="107" t="str">
        <x:v>End Humble: 6 hex capacity; tutorial deed track complete.</x:v>
      </x:c>
      <x:c r="I5" s="105"/>
      <x:c r="J5" s="105"/>
      <x:c r="K5" s="105"/>
      <x:c r="L5" s="105"/>
      <x:c r="M5" s="105"/>
      <x:c r="N5" s="105"/>
      <x:c r="O5" s="105"/>
      <x:c r="P5" s="105"/>
      <x:c r="Q5" s="105"/>
      <x:c r="R5" s="105"/>
      <x:c r="S5" s="105"/>
      <x:c r="T5" s="105"/>
      <x:c r="U5" s="105"/>
    </x:row>
    <x:row r="6">
      <x:c r="A6" s="107" t="n">
        <x:v>5</x:v>
      </x:c>
      <x:c r="B6" s="107" t="str">
        <x:v>Starter</x:v>
      </x:c>
      <x:c r="C6" s="107" t="n">
        <x:v>8</x:v>
      </x:c>
      <x:c r="D6" s="107" t="n">
        <x:v>2</x:v>
      </x:c>
      <x:c r="E6" s="107" t="n">
        <x:v>2</x:v>
      </x:c>
      <x:c r="F6" s="107" t="n">
        <x:v>12</x:v>
      </x:c>
      <x:c r="G6" s="141" t="n">
        <x:v>1.35</x:v>
      </x:c>
      <x:c r="H6" s="107" t="str"/>
      <x:c r="I6" s="105"/>
      <x:c r="J6" s="105"/>
      <x:c r="K6" s="105"/>
      <x:c r="L6" s="105"/>
      <x:c r="M6" s="105"/>
      <x:c r="N6" s="105"/>
      <x:c r="O6" s="105"/>
      <x:c r="P6" s="105"/>
      <x:c r="Q6" s="105"/>
      <x:c r="R6" s="105"/>
      <x:c r="S6" s="105"/>
      <x:c r="T6" s="105"/>
      <x:c r="U6" s="105"/>
    </x:row>
    <x:row r="7">
      <x:c r="A7" s="107" t="n">
        <x:v>6</x:v>
      </x:c>
      <x:c r="B7" s="107" t="str">
        <x:v>Starter</x:v>
      </x:c>
      <x:c r="C7" s="107" t="n">
        <x:v>11</x:v>
      </x:c>
      <x:c r="D7" s="107" t="n">
        <x:v>3</x:v>
      </x:c>
      <x:c r="E7" s="107" t="n">
        <x:v>3</x:v>
      </x:c>
      <x:c r="F7" s="107" t="n">
        <x:v>15</x:v>
      </x:c>
      <x:c r="G7" s="141" t="n">
        <x:v>1.35</x:v>
      </x:c>
      <x:c r="H7" s="107" t="str"/>
      <x:c r="I7" s="105"/>
      <x:c r="J7" s="105"/>
      <x:c r="K7" s="105"/>
      <x:c r="L7" s="105"/>
      <x:c r="M7" s="105"/>
      <x:c r="N7" s="105"/>
      <x:c r="O7" s="105"/>
      <x:c r="P7" s="105"/>
      <x:c r="Q7" s="105"/>
      <x:c r="R7" s="105"/>
      <x:c r="S7" s="105"/>
      <x:c r="T7" s="105"/>
      <x:c r="U7" s="105"/>
    </x:row>
    <x:row r="8">
      <x:c r="A8" s="107" t="n">
        <x:v>7</x:v>
      </x:c>
      <x:c r="B8" s="107" t="str">
        <x:v>Starter</x:v>
      </x:c>
      <x:c r="C8" s="107" t="n">
        <x:v>14</x:v>
      </x:c>
      <x:c r="D8" s="107" t="n">
        <x:v>3</x:v>
      </x:c>
      <x:c r="E8" s="107" t="n">
        <x:v>3</x:v>
      </x:c>
      <x:c r="F8" s="107" t="n">
        <x:v>18</x:v>
      </x:c>
      <x:c r="G8" s="141" t="n">
        <x:v>1.8</x:v>
      </x:c>
      <x:c r="H8" s="107" t="str"/>
      <x:c r="I8" s="105"/>
      <x:c r="J8" s="105"/>
      <x:c r="K8" s="105"/>
      <x:c r="L8" s="105"/>
      <x:c r="M8" s="105"/>
      <x:c r="N8" s="105"/>
      <x:c r="O8" s="105"/>
      <x:c r="P8" s="105"/>
      <x:c r="Q8" s="105"/>
      <x:c r="R8" s="105"/>
      <x:c r="S8" s="105"/>
      <x:c r="T8" s="105"/>
      <x:c r="U8" s="105"/>
    </x:row>
    <x:row r="9">
      <x:c r="A9" s="107" t="n">
        <x:v>8</x:v>
      </x:c>
      <x:c r="B9" s="107" t="str">
        <x:v>Starter</x:v>
      </x:c>
      <x:c r="C9" s="107" t="n">
        <x:v>18</x:v>
      </x:c>
      <x:c r="D9" s="107" t="n">
        <x:v>4</x:v>
      </x:c>
      <x:c r="E9" s="107" t="n">
        <x:v>2</x:v>
      </x:c>
      <x:c r="F9" s="107" t="n">
        <x:v>20</x:v>
      </x:c>
      <x:c r="G9" s="141" t="n">
        <x:v>1.8</x:v>
      </x:c>
      <x:c r="H9" s="107" t="str"/>
      <x:c r="I9" s="105"/>
      <x:c r="J9" s="105"/>
      <x:c r="K9" s="105"/>
      <x:c r="L9" s="105"/>
      <x:c r="M9" s="105"/>
      <x:c r="N9" s="105"/>
      <x:c r="O9" s="105"/>
      <x:c r="P9" s="105"/>
      <x:c r="Q9" s="105"/>
      <x:c r="R9" s="105"/>
      <x:c r="S9" s="105"/>
      <x:c r="T9" s="105"/>
      <x:c r="U9" s="105"/>
    </x:row>
    <x:row r="10">
      <x:c r="A10" s="107" t="n">
        <x:v>9</x:v>
      </x:c>
      <x:c r="B10" s="107" t="str">
        <x:v>Growing</x:v>
      </x:c>
      <x:c r="C10" s="107" t="n">
        <x:v>22</x:v>
      </x:c>
      <x:c r="D10" s="107" t="n">
        <x:v>4</x:v>
      </x:c>
      <x:c r="E10" s="107" t="n">
        <x:v>2</x:v>
      </x:c>
      <x:c r="F10" s="107" t="n">
        <x:v>22</x:v>
      </x:c>
      <x:c r="G10" s="141" t="n">
        <x:v>1.35</x:v>
      </x:c>
      <x:c r="H10" s="107" t="str"/>
      <x:c r="I10" s="105"/>
      <x:c r="J10" s="105"/>
      <x:c r="K10" s="105"/>
      <x:c r="L10" s="105"/>
      <x:c r="M10" s="105"/>
      <x:c r="N10" s="105"/>
      <x:c r="O10" s="105"/>
      <x:c r="P10" s="105"/>
      <x:c r="Q10" s="105"/>
      <x:c r="R10" s="105"/>
      <x:c r="S10" s="105"/>
      <x:c r="T10" s="105"/>
      <x:c r="U10" s="105"/>
    </x:row>
    <x:row r="11">
      <x:c r="A11" s="107" t="n">
        <x:v>10</x:v>
      </x:c>
      <x:c r="B11" s="107" t="str">
        <x:v>Growing</x:v>
      </x:c>
      <x:c r="C11" s="107" t="n">
        <x:v>26</x:v>
      </x:c>
      <x:c r="D11" s="107" t="n">
        <x:v>4</x:v>
      </x:c>
      <x:c r="E11" s="107" t="n">
        <x:v>3</x:v>
      </x:c>
      <x:c r="F11" s="107" t="n">
        <x:v>25</x:v>
      </x:c>
      <x:c r="G11" s="141" t="n">
        <x:v>1.35</x:v>
      </x:c>
      <x:c r="H11" s="107" t="str"/>
      <x:c r="I11" s="105"/>
      <x:c r="J11" s="105"/>
      <x:c r="K11" s="105"/>
      <x:c r="L11" s="105"/>
      <x:c r="M11" s="105"/>
      <x:c r="N11" s="105"/>
      <x:c r="O11" s="105"/>
      <x:c r="P11" s="105"/>
      <x:c r="Q11" s="105"/>
      <x:c r="R11" s="105"/>
      <x:c r="S11" s="105"/>
      <x:c r="T11" s="105"/>
      <x:c r="U11" s="105"/>
    </x:row>
    <x:row r="12">
      <x:c r="A12" s="107" t="n">
        <x:v>11</x:v>
      </x:c>
      <x:c r="B12" s="107" t="str">
        <x:v>Growing</x:v>
      </x:c>
      <x:c r="C12" s="107" t="n">
        <x:v>30</x:v>
      </x:c>
      <x:c r="D12" s="107" t="n">
        <x:v>4</x:v>
      </x:c>
      <x:c r="E12" s="107" t="n">
        <x:v>3</x:v>
      </x:c>
      <x:c r="F12" s="107" t="n">
        <x:v>28</x:v>
      </x:c>
      <x:c r="G12" s="141" t="n">
        <x:v>1.8</x:v>
      </x:c>
      <x:c r="H12" s="107" t="str"/>
      <x:c r="I12" s="105"/>
      <x:c r="J12" s="105"/>
      <x:c r="K12" s="105"/>
      <x:c r="L12" s="105"/>
      <x:c r="M12" s="105"/>
      <x:c r="N12" s="105"/>
      <x:c r="O12" s="105"/>
      <x:c r="P12" s="105"/>
      <x:c r="Q12" s="105"/>
      <x:c r="R12" s="105"/>
      <x:c r="S12" s="105"/>
      <x:c r="T12" s="105"/>
      <x:c r="U12" s="105"/>
    </x:row>
    <x:row r="13">
      <x:c r="A13" s="107" t="n">
        <x:v>12</x:v>
      </x:c>
      <x:c r="B13" s="107" t="str">
        <x:v>Growing</x:v>
      </x:c>
      <x:c r="C13" s="107" t="n">
        <x:v>35</x:v>
      </x:c>
      <x:c r="D13" s="107" t="n">
        <x:v>5</x:v>
      </x:c>
      <x:c r="E13" s="107" t="n">
        <x:v>2</x:v>
      </x:c>
      <x:c r="F13" s="107" t="n">
        <x:v>30</x:v>
      </x:c>
      <x:c r="G13" s="141" t="n">
        <x:v>1.8</x:v>
      </x:c>
      <x:c r="H13" s="107" t="str">
        <x:v>End Growing: full 35-hex capacity becomes level-eligible.</x:v>
      </x:c>
      <x:c r="I13" s="105"/>
      <x:c r="J13" s="105"/>
      <x:c r="K13" s="105"/>
      <x:c r="L13" s="105"/>
      <x:c r="M13" s="105"/>
      <x:c r="N13" s="105"/>
      <x:c r="O13" s="105"/>
      <x:c r="P13" s="105"/>
      <x:c r="Q13" s="105"/>
      <x:c r="R13" s="105"/>
      <x:c r="S13" s="105"/>
      <x:c r="T13" s="105"/>
      <x:c r="U13" s="105"/>
    </x:row>
    <x:row r="14">
      <x:c r="A14" s="107" t="n">
        <x:v>13</x:v>
      </x:c>
      <x:c r="B14" s="107" t="str">
        <x:v>Established</x:v>
      </x:c>
      <x:c r="C14" s="107" t="n">
        <x:v>35</x:v>
      </x:c>
      <x:c r="D14" s="107" t="n">
        <x:v>0</x:v>
      </x:c>
      <x:c r="E14" s="107" t="n">
        <x:v>2</x:v>
      </x:c>
      <x:c r="F14" s="107" t="n">
        <x:v>32</x:v>
      </x:c>
      <x:c r="G14" s="141" t="n">
        <x:v>1.35</x:v>
      </x:c>
      <x:c r="H14" s="107" t="str">
        <x:v>Base land capacity capped; focus shifts to institutions, upgrades and optimization.</x:v>
      </x:c>
      <x:c r="I14" s="105"/>
      <x:c r="J14" s="105"/>
      <x:c r="K14" s="105"/>
      <x:c r="L14" s="105"/>
      <x:c r="M14" s="105"/>
      <x:c r="N14" s="105"/>
      <x:c r="O14" s="105"/>
      <x:c r="P14" s="105"/>
      <x:c r="Q14" s="105"/>
      <x:c r="R14" s="105"/>
      <x:c r="S14" s="105"/>
      <x:c r="T14" s="105"/>
      <x:c r="U14" s="105"/>
    </x:row>
    <x:row r="15">
      <x:c r="A15" s="107" t="n">
        <x:v>14</x:v>
      </x:c>
      <x:c r="B15" s="107" t="str">
        <x:v>Established</x:v>
      </x:c>
      <x:c r="C15" s="107" t="n">
        <x:v>35</x:v>
      </x:c>
      <x:c r="D15" s="107" t="n">
        <x:v>0</x:v>
      </x:c>
      <x:c r="E15" s="107" t="n">
        <x:v>3</x:v>
      </x:c>
      <x:c r="F15" s="107" t="n">
        <x:v>35</x:v>
      </x:c>
      <x:c r="G15" s="141" t="n">
        <x:v>1.35</x:v>
      </x:c>
      <x:c r="H15" s="107" t="str">
        <x:v>Base land capacity capped; focus shifts to institutions, upgrades and optimization.</x:v>
      </x:c>
      <x:c r="I15" s="105"/>
      <x:c r="J15" s="105"/>
      <x:c r="K15" s="105"/>
      <x:c r="L15" s="105"/>
      <x:c r="M15" s="105"/>
      <x:c r="N15" s="105"/>
      <x:c r="O15" s="105"/>
      <x:c r="P15" s="105"/>
      <x:c r="Q15" s="105"/>
      <x:c r="R15" s="105"/>
      <x:c r="S15" s="105"/>
      <x:c r="T15" s="105"/>
      <x:c r="U15" s="105"/>
    </x:row>
    <x:row r="16">
      <x:c r="A16" s="107" t="n">
        <x:v>15</x:v>
      </x:c>
      <x:c r="B16" s="107" t="str">
        <x:v>Established</x:v>
      </x:c>
      <x:c r="C16" s="107" t="n">
        <x:v>35</x:v>
      </x:c>
      <x:c r="D16" s="107" t="n">
        <x:v>0</x:v>
      </x:c>
      <x:c r="E16" s="107" t="n">
        <x:v>3</x:v>
      </x:c>
      <x:c r="F16" s="107" t="n">
        <x:v>38</x:v>
      </x:c>
      <x:c r="G16" s="141" t="n">
        <x:v>1.8</x:v>
      </x:c>
      <x:c r="H16" s="107" t="str">
        <x:v>Base land capacity capped; focus shifts to institutions, upgrades and optimization.</x:v>
      </x:c>
      <x:c r="I16" s="105"/>
      <x:c r="J16" s="105"/>
      <x:c r="K16" s="105"/>
      <x:c r="L16" s="105"/>
      <x:c r="M16" s="105"/>
      <x:c r="N16" s="105"/>
      <x:c r="O16" s="105"/>
      <x:c r="P16" s="105"/>
      <x:c r="Q16" s="105"/>
      <x:c r="R16" s="105"/>
      <x:c r="S16" s="105"/>
      <x:c r="T16" s="105"/>
      <x:c r="U16" s="105"/>
    </x:row>
    <x:row r="17">
      <x:c r="A17" s="107" t="n">
        <x:v>16</x:v>
      </x:c>
      <x:c r="B17" s="107" t="str">
        <x:v>Established</x:v>
      </x:c>
      <x:c r="C17" s="107" t="n">
        <x:v>35</x:v>
      </x:c>
      <x:c r="D17" s="107" t="n">
        <x:v>0</x:v>
      </x:c>
      <x:c r="E17" s="107" t="n">
        <x:v>2</x:v>
      </x:c>
      <x:c r="F17" s="107" t="n">
        <x:v>40</x:v>
      </x:c>
      <x:c r="G17" s="141" t="n">
        <x:v>1.8</x:v>
      </x:c>
      <x:c r="H17" s="107" t="str">
        <x:v>Base land capacity capped; focus shifts to institutions, upgrades and optimization.</x:v>
      </x:c>
      <x:c r="I17" s="105"/>
      <x:c r="J17" s="105"/>
      <x:c r="K17" s="105"/>
      <x:c r="L17" s="105"/>
      <x:c r="M17" s="105"/>
      <x:c r="N17" s="105"/>
      <x:c r="O17" s="105"/>
      <x:c r="P17" s="105"/>
      <x:c r="Q17" s="105"/>
      <x:c r="R17" s="105"/>
      <x:c r="S17" s="105"/>
      <x:c r="T17" s="105"/>
      <x:c r="U17" s="105"/>
    </x:row>
    <x:row r="18">
      <x:c r="A18" s="107" t="n">
        <x:v>17</x:v>
      </x:c>
      <x:c r="B18" s="107" t="str">
        <x:v>Elite</x:v>
      </x:c>
      <x:c r="C18" s="107" t="n">
        <x:v>35</x:v>
      </x:c>
      <x:c r="D18" s="107" t="n">
        <x:v>0</x:v>
      </x:c>
      <x:c r="E18" s="107" t="n">
        <x:v>1</x:v>
      </x:c>
      <x:c r="F18" s="107" t="n">
        <x:v>41</x:v>
      </x:c>
      <x:c r="G18" s="141" t="n">
        <x:v>1.35</x:v>
      </x:c>
      <x:c r="H18" s="107" t="str">
        <x:v>Base land capacity capped; focus shifts to institutions, upgrades and optimization.</x:v>
      </x:c>
      <x:c r="I18" s="105"/>
      <x:c r="J18" s="105"/>
      <x:c r="K18" s="105"/>
      <x:c r="L18" s="105"/>
      <x:c r="M18" s="105"/>
      <x:c r="N18" s="105"/>
      <x:c r="O18" s="105"/>
      <x:c r="P18" s="105"/>
      <x:c r="Q18" s="105"/>
      <x:c r="R18" s="105"/>
      <x:c r="S18" s="105"/>
      <x:c r="T18" s="105"/>
      <x:c r="U18" s="105"/>
    </x:row>
    <x:row r="19">
      <x:c r="A19" s="107" t="n">
        <x:v>18</x:v>
      </x:c>
      <x:c r="B19" s="107" t="str">
        <x:v>Elite</x:v>
      </x:c>
      <x:c r="C19" s="107" t="n">
        <x:v>35</x:v>
      </x:c>
      <x:c r="D19" s="107" t="n">
        <x:v>0</x:v>
      </x:c>
      <x:c r="E19" s="107" t="n">
        <x:v>1</x:v>
      </x:c>
      <x:c r="F19" s="107" t="n">
        <x:v>42</x:v>
      </x:c>
      <x:c r="G19" s="141" t="n">
        <x:v>1.35</x:v>
      </x:c>
      <x:c r="H19" s="107" t="str">
        <x:v>Base land capacity capped; focus shifts to institutions, upgrades and optimization.</x:v>
      </x:c>
      <x:c r="I19" s="105"/>
      <x:c r="J19" s="105"/>
      <x:c r="K19" s="105"/>
      <x:c r="L19" s="105"/>
      <x:c r="M19" s="105"/>
      <x:c r="N19" s="105"/>
      <x:c r="O19" s="105"/>
      <x:c r="P19" s="105"/>
      <x:c r="Q19" s="105"/>
      <x:c r="R19" s="105"/>
      <x:c r="S19" s="105"/>
      <x:c r="T19" s="105"/>
      <x:c r="U19" s="105"/>
    </x:row>
    <x:row r="20">
      <x:c r="A20" s="107" t="n">
        <x:v>19</x:v>
      </x:c>
      <x:c r="B20" s="107" t="str">
        <x:v>Elite</x:v>
      </x:c>
      <x:c r="C20" s="107" t="n">
        <x:v>35</x:v>
      </x:c>
      <x:c r="D20" s="107" t="n">
        <x:v>0</x:v>
      </x:c>
      <x:c r="E20" s="107" t="n">
        <x:v>2</x:v>
      </x:c>
      <x:c r="F20" s="107" t="n">
        <x:v>44</x:v>
      </x:c>
      <x:c r="G20" s="141" t="n">
        <x:v>1.8</x:v>
      </x:c>
      <x:c r="H20" s="107" t="str">
        <x:v>Base land capacity capped; focus shifts to institutions, upgrades and optimization.</x:v>
      </x:c>
      <x:c r="I20" s="105"/>
      <x:c r="J20" s="105"/>
      <x:c r="K20" s="105"/>
      <x:c r="L20" s="105"/>
      <x:c r="M20" s="105"/>
      <x:c r="N20" s="105"/>
      <x:c r="O20" s="105"/>
      <x:c r="P20" s="105"/>
      <x:c r="Q20" s="105"/>
      <x:c r="R20" s="105"/>
      <x:c r="S20" s="105"/>
      <x:c r="T20" s="105"/>
      <x:c r="U20" s="105"/>
    </x:row>
    <x:row r="21">
      <x:c r="A21" s="107" t="n">
        <x:v>20</x:v>
      </x:c>
      <x:c r="B21" s="107" t="str">
        <x:v>Elite</x:v>
      </x:c>
      <x:c r="C21" s="107" t="n">
        <x:v>35</x:v>
      </x:c>
      <x:c r="D21" s="107" t="n">
        <x:v>0</x:v>
      </x:c>
      <x:c r="E21" s="107" t="n">
        <x:v>1</x:v>
      </x:c>
      <x:c r="F21" s="107" t="n">
        <x:v>45</x:v>
      </x:c>
      <x:c r="G21" s="141" t="n">
        <x:v>1.8</x:v>
      </x:c>
      <x:c r="H21" s="107" t="str">
        <x:v>Base land capacity capped; focus shifts to institutions, upgrades and optimization.</x:v>
      </x:c>
      <x:c r="I21" s="105"/>
      <x:c r="J21" s="105"/>
      <x:c r="K21" s="105"/>
      <x:c r="L21" s="105"/>
      <x:c r="M21" s="105"/>
      <x:c r="N21" s="105"/>
      <x:c r="O21" s="105"/>
      <x:c r="P21" s="105"/>
      <x:c r="Q21" s="105"/>
      <x:c r="R21" s="105"/>
      <x:c r="S21" s="105"/>
      <x:c r="T21" s="105"/>
      <x:c r="U21" s="105"/>
    </x:row>
    <x:row r="22">
      <x:c r="A22" s="107" t="n">
        <x:v>21</x:v>
      </x:c>
      <x:c r="B22" s="107" t="str">
        <x:v>Tycoon</x:v>
      </x:c>
      <x:c r="C22" s="107" t="n">
        <x:v>35</x:v>
      </x:c>
      <x:c r="D22" s="107" t="n">
        <x:v>0</x:v>
      </x:c>
      <x:c r="E22" s="107" t="n">
        <x:v>1</x:v>
      </x:c>
      <x:c r="F22" s="107" t="n">
        <x:v>46</x:v>
      </x:c>
      <x:c r="G22" s="141" t="n">
        <x:v>1.35</x:v>
      </x:c>
      <x:c r="H22" s="107" t="str">
        <x:v>Base land capacity capped; focus shifts to institutions, upgrades and optimization.</x:v>
      </x:c>
      <x:c r="I22" s="105"/>
      <x:c r="J22" s="105"/>
      <x:c r="K22" s="105"/>
      <x:c r="L22" s="105"/>
      <x:c r="M22" s="105"/>
      <x:c r="N22" s="105"/>
      <x:c r="O22" s="105"/>
      <x:c r="P22" s="105"/>
      <x:c r="Q22" s="105"/>
      <x:c r="R22" s="105"/>
      <x:c r="S22" s="105"/>
      <x:c r="T22" s="105"/>
      <x:c r="U22" s="105"/>
    </x:row>
    <x:row r="23">
      <x:c r="A23" s="107" t="n">
        <x:v>22</x:v>
      </x:c>
      <x:c r="B23" s="107" t="str">
        <x:v>Tycoon</x:v>
      </x:c>
      <x:c r="C23" s="107" t="n">
        <x:v>35</x:v>
      </x:c>
      <x:c r="D23" s="107" t="n">
        <x:v>0</x:v>
      </x:c>
      <x:c r="E23" s="107" t="n">
        <x:v>1</x:v>
      </x:c>
      <x:c r="F23" s="107" t="n">
        <x:v>47</x:v>
      </x:c>
      <x:c r="G23" s="141" t="n">
        <x:v>1.35</x:v>
      </x:c>
      <x:c r="H23" s="107" t="str">
        <x:v>Base land capacity capped; focus shifts to institutions, upgrades and optimization.</x:v>
      </x:c>
      <x:c r="I23" s="105"/>
      <x:c r="J23" s="105"/>
      <x:c r="K23" s="105"/>
      <x:c r="L23" s="105"/>
      <x:c r="M23" s="105"/>
      <x:c r="N23" s="105"/>
      <x:c r="O23" s="105"/>
      <x:c r="P23" s="105"/>
      <x:c r="Q23" s="105"/>
      <x:c r="R23" s="105"/>
      <x:c r="S23" s="105"/>
      <x:c r="T23" s="105"/>
      <x:c r="U23" s="105"/>
    </x:row>
    <x:row r="24">
      <x:c r="A24" s="107" t="n">
        <x:v>23</x:v>
      </x:c>
      <x:c r="B24" s="107" t="str">
        <x:v>Tycoon</x:v>
      </x:c>
      <x:c r="C24" s="107" t="n">
        <x:v>35</x:v>
      </x:c>
      <x:c r="D24" s="107" t="n">
        <x:v>0</x:v>
      </x:c>
      <x:c r="E24" s="107" t="n">
        <x:v>2</x:v>
      </x:c>
      <x:c r="F24" s="107" t="n">
        <x:v>49</x:v>
      </x:c>
      <x:c r="G24" s="141" t="n">
        <x:v>1.8</x:v>
      </x:c>
      <x:c r="H24" s="107" t="str">
        <x:v>Base land capacity capped; focus shifts to institutions, upgrades and optimization.</x:v>
      </x:c>
      <x:c r="I24" s="105"/>
      <x:c r="J24" s="105"/>
      <x:c r="K24" s="105"/>
      <x:c r="L24" s="105"/>
      <x:c r="M24" s="105"/>
      <x:c r="N24" s="105"/>
      <x:c r="O24" s="105"/>
      <x:c r="P24" s="105"/>
      <x:c r="Q24" s="105"/>
      <x:c r="R24" s="105"/>
      <x:c r="S24" s="105"/>
      <x:c r="T24" s="105"/>
      <x:c r="U24" s="105"/>
    </x:row>
    <x:row r="25">
      <x:c r="A25" s="107" t="n">
        <x:v>24</x:v>
      </x:c>
      <x:c r="B25" s="107" t="str">
        <x:v>Tycoon</x:v>
      </x:c>
      <x:c r="C25" s="107" t="n">
        <x:v>35</x:v>
      </x:c>
      <x:c r="D25" s="107" t="n">
        <x:v>0</x:v>
      </x:c>
      <x:c r="E25" s="107" t="n">
        <x:v>1</x:v>
      </x:c>
      <x:c r="F25" s="107" t="n">
        <x:v>50</x:v>
      </x:c>
      <x:c r="G25" s="141" t="n">
        <x:v>1.8</x:v>
      </x:c>
      <x:c r="H25" s="107" t="str">
        <x:v>Base land capacity capped; focus shifts to institutions, upgrades and optimization.</x:v>
      </x:c>
      <x:c r="I25" s="105"/>
      <x:c r="J25" s="105"/>
      <x:c r="K25" s="105"/>
      <x:c r="L25" s="105"/>
      <x:c r="M25" s="105"/>
      <x:c r="N25" s="105"/>
      <x:c r="O25" s="105"/>
      <x:c r="P25" s="105"/>
      <x:c r="Q25" s="105"/>
      <x:c r="R25" s="105"/>
      <x:c r="S25" s="105"/>
      <x:c r="T25" s="105"/>
      <x:c r="U25" s="105"/>
    </x:row>
    <x:row r="26">
      <x:c r="A26" s="105"/>
      <x:c r="B26" s="105"/>
      <x:c r="C26" s="105"/>
      <x:c r="D26" s="105"/>
      <x:c r="E26" s="105"/>
      <x:c r="F26" s="105"/>
      <x:c r="G26" s="105"/>
      <x:c r="H26" s="105"/>
      <x:c r="I26" s="105"/>
      <x:c r="J26" s="105"/>
      <x:c r="K26" s="105"/>
      <x:c r="L26" s="105"/>
      <x:c r="M26" s="105"/>
      <x:c r="N26" s="105"/>
      <x:c r="O26" s="105"/>
      <x:c r="P26" s="105"/>
      <x:c r="Q26" s="105"/>
      <x:c r="R26" s="105"/>
      <x:c r="S26" s="105"/>
      <x:c r="T26" s="105"/>
      <x:c r="U26" s="105"/>
    </x:row>
    <x:row r="27">
      <x:c r="A27" s="105"/>
      <x:c r="B27" s="105"/>
      <x:c r="C27" s="105"/>
      <x:c r="D27" s="105"/>
      <x:c r="E27" s="105"/>
      <x:c r="F27" s="105"/>
      <x:c r="G27" s="105"/>
      <x:c r="H27" s="105"/>
      <x:c r="I27" s="105"/>
      <x:c r="J27" s="105"/>
      <x:c r="K27" s="105"/>
      <x:c r="L27" s="105"/>
      <x:c r="M27" s="105"/>
      <x:c r="N27" s="105"/>
      <x:c r="O27" s="105"/>
      <x:c r="P27" s="105"/>
      <x:c r="Q27" s="105"/>
      <x:c r="R27" s="105"/>
      <x:c r="S27" s="105"/>
      <x:c r="T27" s="105"/>
      <x:c r="U27" s="105"/>
    </x:row>
    <x:row r="28">
      <x:c r="A28" s="105"/>
      <x:c r="B28" s="105"/>
      <x:c r="C28" s="105"/>
      <x:c r="D28" s="105"/>
      <x:c r="E28" s="105"/>
      <x:c r="F28" s="105"/>
      <x:c r="G28" s="105"/>
      <x:c r="H28" s="105"/>
      <x:c r="I28" s="105"/>
      <x:c r="J28" s="105"/>
      <x:c r="K28" s="105"/>
      <x:c r="L28" s="105"/>
      <x:c r="M28" s="105"/>
      <x:c r="N28" s="105"/>
      <x:c r="O28" s="105"/>
      <x:c r="P28" s="105"/>
      <x:c r="Q28" s="105"/>
      <x:c r="R28" s="105"/>
      <x:c r="S28" s="105"/>
      <x:c r="T28" s="105"/>
      <x:c r="U28" s="105"/>
    </x:row>
    <x:row r="29">
      <x:c r="A29" s="105"/>
      <x:c r="B29" s="105"/>
      <x:c r="C29" s="105"/>
      <x:c r="D29" s="105"/>
      <x:c r="E29" s="105"/>
      <x:c r="F29" s="105"/>
      <x:c r="G29" s="105"/>
      <x:c r="H29" s="105"/>
      <x:c r="I29" s="105"/>
      <x:c r="J29" s="105"/>
      <x:c r="K29" s="105"/>
      <x:c r="L29" s="105"/>
      <x:c r="M29" s="105"/>
      <x:c r="N29" s="105"/>
      <x:c r="O29" s="105"/>
      <x:c r="P29" s="105"/>
      <x:c r="Q29" s="105"/>
      <x:c r="R29" s="105"/>
      <x:c r="S29" s="105"/>
      <x:c r="T29" s="105"/>
      <x:c r="U29" s="105"/>
    </x:row>
    <x:row r="30">
      <x:c r="A30" s="105"/>
      <x:c r="B30" s="105"/>
      <x:c r="C30" s="105"/>
      <x:c r="D30" s="105"/>
      <x:c r="E30" s="105"/>
      <x:c r="F30" s="105"/>
      <x:c r="G30" s="105"/>
      <x:c r="H30" s="105"/>
      <x:c r="I30" s="105"/>
      <x:c r="J30" s="105"/>
      <x:c r="K30" s="105"/>
      <x:c r="L30" s="105"/>
      <x:c r="M30" s="105"/>
      <x:c r="N30" s="105"/>
      <x:c r="O30" s="105"/>
      <x:c r="P30" s="105"/>
      <x:c r="Q30" s="105"/>
      <x:c r="R30" s="105"/>
      <x:c r="S30" s="105"/>
      <x:c r="T30" s="105"/>
      <x:c r="U30" s="105"/>
    </x:row>
    <x:row r="31">
      <x:c r="A31" s="105"/>
      <x:c r="B31" s="105"/>
      <x:c r="C31" s="105"/>
      <x:c r="D31" s="105"/>
      <x:c r="E31" s="105"/>
      <x:c r="F31" s="105"/>
      <x:c r="G31" s="105"/>
      <x:c r="H31" s="105"/>
      <x:c r="I31" s="105"/>
      <x:c r="J31" s="105"/>
      <x:c r="K31" s="105"/>
      <x:c r="L31" s="105"/>
      <x:c r="M31" s="105"/>
      <x:c r="N31" s="105"/>
      <x:c r="O31" s="105"/>
      <x:c r="P31" s="105"/>
      <x:c r="Q31" s="105"/>
      <x:c r="R31" s="105"/>
      <x:c r="S31" s="105"/>
      <x:c r="T31" s="105"/>
      <x:c r="U31" s="105"/>
    </x:row>
    <x:row r="32">
      <x:c r="A32" s="105"/>
      <x:c r="B32" s="105"/>
      <x:c r="C32" s="105"/>
      <x:c r="D32" s="105"/>
      <x:c r="E32" s="105"/>
      <x:c r="F32" s="105"/>
      <x:c r="G32" s="105"/>
      <x:c r="H32" s="105"/>
      <x:c r="I32" s="105"/>
      <x:c r="J32" s="105"/>
      <x:c r="K32" s="105"/>
      <x:c r="L32" s="105"/>
      <x:c r="M32" s="105"/>
      <x:c r="N32" s="105"/>
      <x:c r="O32" s="105"/>
      <x:c r="P32" s="105"/>
      <x:c r="Q32" s="105"/>
      <x:c r="R32" s="105"/>
      <x:c r="S32" s="105"/>
      <x:c r="T32" s="105"/>
      <x:c r="U32" s="105"/>
    </x:row>
    <x:row r="33">
      <x:c r="A33" s="105"/>
      <x:c r="B33" s="105"/>
      <x:c r="C33" s="105"/>
      <x:c r="D33" s="105"/>
      <x:c r="E33" s="105"/>
      <x:c r="F33" s="105"/>
      <x:c r="G33" s="105"/>
      <x:c r="H33" s="105"/>
      <x:c r="I33" s="105"/>
      <x:c r="J33" s="105"/>
      <x:c r="K33" s="105"/>
      <x:c r="L33" s="105"/>
      <x:c r="M33" s="105"/>
      <x:c r="N33" s="105"/>
      <x:c r="O33" s="105"/>
      <x:c r="P33" s="105"/>
      <x:c r="Q33" s="105"/>
      <x:c r="R33" s="105"/>
      <x:c r="S33" s="105"/>
      <x:c r="T33" s="105"/>
      <x:c r="U33" s="105"/>
    </x:row>
    <x:row r="34">
      <x:c r="A34" s="105"/>
      <x:c r="B34" s="105"/>
      <x:c r="C34" s="105"/>
      <x:c r="D34" s="105"/>
      <x:c r="E34" s="105"/>
      <x:c r="F34" s="105"/>
      <x:c r="G34" s="105"/>
      <x:c r="H34" s="105"/>
      <x:c r="I34" s="105"/>
      <x:c r="J34" s="105"/>
      <x:c r="K34" s="105"/>
      <x:c r="L34" s="105"/>
      <x:c r="M34" s="105"/>
      <x:c r="N34" s="105"/>
      <x:c r="O34" s="105"/>
      <x:c r="P34" s="105"/>
      <x:c r="Q34" s="105"/>
      <x:c r="R34" s="105"/>
      <x:c r="S34" s="105"/>
      <x:c r="T34" s="105"/>
      <x:c r="U34" s="105"/>
    </x:row>
    <x:row r="35">
      <x:c r="A35" s="105"/>
      <x:c r="B35" s="105"/>
      <x:c r="C35" s="105"/>
      <x:c r="D35" s="105"/>
      <x:c r="E35" s="105"/>
      <x:c r="F35" s="105"/>
      <x:c r="G35" s="105"/>
      <x:c r="H35" s="105"/>
      <x:c r="I35" s="105"/>
      <x:c r="J35" s="105"/>
      <x:c r="K35" s="105"/>
      <x:c r="L35" s="105"/>
      <x:c r="M35" s="105"/>
      <x:c r="N35" s="105"/>
      <x:c r="O35" s="105"/>
      <x:c r="P35" s="105"/>
      <x:c r="Q35" s="105"/>
      <x:c r="R35" s="105"/>
      <x:c r="S35" s="105"/>
      <x:c r="T35" s="105"/>
      <x:c r="U35" s="105"/>
    </x:row>
    <x:row r="36">
      <x:c r="A36" s="105"/>
      <x:c r="B36" s="105"/>
      <x:c r="C36" s="105"/>
      <x:c r="D36" s="105"/>
      <x:c r="E36" s="105"/>
      <x:c r="F36" s="105"/>
      <x:c r="G36" s="105"/>
      <x:c r="H36" s="105"/>
      <x:c r="I36" s="105"/>
      <x:c r="J36" s="105"/>
      <x:c r="K36" s="105"/>
      <x:c r="L36" s="105"/>
      <x:c r="M36" s="105"/>
      <x:c r="N36" s="105"/>
      <x:c r="O36" s="105"/>
      <x:c r="P36" s="105"/>
      <x:c r="Q36" s="105"/>
      <x:c r="R36" s="105"/>
      <x:c r="S36" s="105"/>
      <x:c r="T36" s="105"/>
      <x:c r="U36" s="105"/>
    </x:row>
    <x:row r="37">
      <x:c r="A37" s="105"/>
      <x:c r="B37" s="105"/>
      <x:c r="C37" s="105"/>
      <x:c r="D37" s="105"/>
      <x:c r="E37" s="105"/>
      <x:c r="F37" s="105"/>
      <x:c r="G37" s="105"/>
      <x:c r="H37" s="105"/>
      <x:c r="I37" s="105"/>
      <x:c r="J37" s="105"/>
      <x:c r="K37" s="105"/>
      <x:c r="L37" s="105"/>
      <x:c r="M37" s="105"/>
      <x:c r="N37" s="105"/>
      <x:c r="O37" s="105"/>
      <x:c r="P37" s="105"/>
      <x:c r="Q37" s="105"/>
      <x:c r="R37" s="105"/>
      <x:c r="S37" s="105"/>
      <x:c r="T37" s="105"/>
      <x:c r="U37" s="105"/>
    </x:row>
    <x:row r="38">
      <x:c r="A38" s="105"/>
      <x:c r="B38" s="105"/>
      <x:c r="C38" s="105"/>
      <x:c r="D38" s="105"/>
      <x:c r="E38" s="105"/>
      <x:c r="F38" s="105"/>
      <x:c r="G38" s="105"/>
      <x:c r="H38" s="105"/>
      <x:c r="I38" s="105"/>
      <x:c r="J38" s="105"/>
      <x:c r="K38" s="105"/>
      <x:c r="L38" s="105"/>
      <x:c r="M38" s="105"/>
      <x:c r="N38" s="105"/>
      <x:c r="O38" s="105"/>
      <x:c r="P38" s="105"/>
      <x:c r="Q38" s="105"/>
      <x:c r="R38" s="105"/>
      <x:c r="S38" s="105"/>
      <x:c r="T38" s="105"/>
      <x:c r="U38" s="105"/>
    </x:row>
    <x:row r="39">
      <x:c r="A39" s="105"/>
      <x:c r="B39" s="105"/>
      <x:c r="C39" s="105"/>
      <x:c r="D39" s="105"/>
      <x:c r="E39" s="105"/>
      <x:c r="F39" s="105"/>
      <x:c r="G39" s="105"/>
      <x:c r="H39" s="105"/>
      <x:c r="I39" s="105"/>
      <x:c r="J39" s="105"/>
      <x:c r="K39" s="105"/>
      <x:c r="L39" s="105"/>
      <x:c r="M39" s="105"/>
      <x:c r="N39" s="105"/>
      <x:c r="O39" s="105"/>
      <x:c r="P39" s="105"/>
      <x:c r="Q39" s="105"/>
      <x:c r="R39" s="105"/>
      <x:c r="S39" s="105"/>
      <x:c r="T39" s="105"/>
      <x:c r="U39" s="105"/>
    </x:row>
    <x:row r="40">
      <x:c r="A40" s="105"/>
      <x:c r="B40" s="105"/>
      <x:c r="C40" s="105"/>
      <x:c r="D40" s="105"/>
      <x:c r="E40" s="105"/>
      <x:c r="F40" s="105"/>
      <x:c r="G40" s="105"/>
      <x:c r="H40" s="105"/>
      <x:c r="I40" s="105"/>
      <x:c r="J40" s="105"/>
      <x:c r="K40" s="105"/>
      <x:c r="L40" s="105"/>
      <x:c r="M40" s="105"/>
      <x:c r="N40" s="105"/>
      <x:c r="O40" s="105"/>
      <x:c r="P40" s="105"/>
      <x:c r="Q40" s="105"/>
      <x:c r="R40" s="105"/>
      <x:c r="S40" s="105"/>
      <x:c r="T40" s="105"/>
      <x:c r="U40" s="105"/>
    </x:row>
    <x:row r="41">
      <x:c r="A41" s="105"/>
      <x:c r="B41" s="105"/>
      <x:c r="C41" s="105"/>
      <x:c r="D41" s="105"/>
      <x:c r="E41" s="105"/>
      <x:c r="F41" s="105"/>
      <x:c r="G41" s="105"/>
      <x:c r="H41" s="105"/>
      <x:c r="I41" s="105"/>
      <x:c r="J41" s="105"/>
      <x:c r="K41" s="105"/>
      <x:c r="L41" s="105"/>
      <x:c r="M41" s="105"/>
      <x:c r="N41" s="105"/>
      <x:c r="O41" s="105"/>
      <x:c r="P41" s="105"/>
      <x:c r="Q41" s="105"/>
      <x:c r="R41" s="105"/>
      <x:c r="S41" s="105"/>
      <x:c r="T41" s="105"/>
      <x:c r="U41" s="105"/>
    </x:row>
    <x:row r="42">
      <x:c r="A42" s="105"/>
      <x:c r="B42" s="105"/>
      <x:c r="C42" s="105"/>
      <x:c r="D42" s="105"/>
      <x:c r="E42" s="105"/>
      <x:c r="F42" s="105"/>
      <x:c r="G42" s="105"/>
      <x:c r="H42" s="105"/>
      <x:c r="I42" s="105"/>
      <x:c r="J42" s="105"/>
      <x:c r="K42" s="105"/>
      <x:c r="L42" s="105"/>
      <x:c r="M42" s="105"/>
      <x:c r="N42" s="105"/>
      <x:c r="O42" s="105"/>
      <x:c r="P42" s="105"/>
      <x:c r="Q42" s="105"/>
      <x:c r="R42" s="105"/>
      <x:c r="S42" s="105"/>
      <x:c r="T42" s="105"/>
      <x:c r="U42" s="105"/>
    </x:row>
    <x:row r="43">
      <x:c r="A43" s="105"/>
      <x:c r="B43" s="105"/>
      <x:c r="C43" s="105"/>
      <x:c r="D43" s="105"/>
      <x:c r="E43" s="105"/>
      <x:c r="F43" s="105"/>
      <x:c r="G43" s="105"/>
      <x:c r="H43" s="105"/>
      <x:c r="I43" s="105"/>
      <x:c r="J43" s="105"/>
      <x:c r="K43" s="105"/>
      <x:c r="L43" s="105"/>
      <x:c r="M43" s="105"/>
      <x:c r="N43" s="105"/>
      <x:c r="O43" s="105"/>
      <x:c r="P43" s="105"/>
      <x:c r="Q43" s="105"/>
      <x:c r="R43" s="105"/>
      <x:c r="S43" s="105"/>
      <x:c r="T43" s="105"/>
      <x:c r="U43" s="105"/>
    </x:row>
    <x:row r="44">
      <x:c r="A44" s="105"/>
      <x:c r="B44" s="105"/>
      <x:c r="C44" s="105"/>
      <x:c r="D44" s="105"/>
      <x:c r="E44" s="105"/>
      <x:c r="F44" s="105"/>
      <x:c r="G44" s="105"/>
      <x:c r="H44" s="105"/>
      <x:c r="I44" s="105"/>
      <x:c r="J44" s="105"/>
      <x:c r="K44" s="105"/>
      <x:c r="L44" s="105"/>
      <x:c r="M44" s="105"/>
      <x:c r="N44" s="105"/>
      <x:c r="O44" s="105"/>
      <x:c r="P44" s="105"/>
      <x:c r="Q44" s="105"/>
      <x:c r="R44" s="105"/>
      <x:c r="S44" s="105"/>
      <x:c r="T44" s="105"/>
      <x:c r="U44" s="105"/>
    </x:row>
    <x:row r="45">
      <x:c r="A45" s="105"/>
      <x:c r="B45" s="105"/>
      <x:c r="C45" s="105"/>
      <x:c r="D45" s="105"/>
      <x:c r="E45" s="105"/>
      <x:c r="F45" s="105"/>
      <x:c r="G45" s="105"/>
      <x:c r="H45" s="105"/>
      <x:c r="I45" s="105"/>
      <x:c r="J45" s="105"/>
      <x:c r="K45" s="105"/>
      <x:c r="L45" s="105"/>
      <x:c r="M45" s="105"/>
      <x:c r="N45" s="105"/>
      <x:c r="O45" s="105"/>
      <x:c r="P45" s="105"/>
      <x:c r="Q45" s="105"/>
      <x:c r="R45" s="105"/>
      <x:c r="S45" s="105"/>
      <x:c r="T45" s="105"/>
      <x:c r="U45" s="105"/>
    </x:row>
    <x:row r="46">
      <x:c r="A46" s="105"/>
      <x:c r="B46" s="105"/>
      <x:c r="C46" s="105"/>
      <x:c r="D46" s="105"/>
      <x:c r="E46" s="105"/>
      <x:c r="F46" s="105"/>
      <x:c r="G46" s="105"/>
      <x:c r="H46" s="105"/>
      <x:c r="I46" s="105"/>
      <x:c r="J46" s="105"/>
      <x:c r="K46" s="105"/>
      <x:c r="L46" s="105"/>
      <x:c r="M46" s="105"/>
      <x:c r="N46" s="105"/>
      <x:c r="O46" s="105"/>
      <x:c r="P46" s="105"/>
      <x:c r="Q46" s="105"/>
      <x:c r="R46" s="105"/>
      <x:c r="S46" s="105"/>
      <x:c r="T46" s="105"/>
      <x:c r="U46" s="105"/>
    </x:row>
    <x:row r="47">
      <x:c r="A47" s="105"/>
      <x:c r="B47" s="105"/>
      <x:c r="C47" s="105"/>
      <x:c r="D47" s="105"/>
      <x:c r="E47" s="105"/>
      <x:c r="F47" s="105"/>
      <x:c r="G47" s="105"/>
      <x:c r="H47" s="105"/>
      <x:c r="I47" s="105"/>
      <x:c r="J47" s="105"/>
      <x:c r="K47" s="105"/>
      <x:c r="L47" s="105"/>
      <x:c r="M47" s="105"/>
      <x:c r="N47" s="105"/>
      <x:c r="O47" s="105"/>
      <x:c r="P47" s="105"/>
      <x:c r="Q47" s="105"/>
      <x:c r="R47" s="105"/>
      <x:c r="S47" s="105"/>
      <x:c r="T47" s="105"/>
      <x:c r="U47" s="105"/>
    </x:row>
    <x:row r="48">
      <x:c r="A48" s="105"/>
      <x:c r="B48" s="105"/>
      <x:c r="C48" s="105"/>
      <x:c r="D48" s="105"/>
      <x:c r="E48" s="105"/>
      <x:c r="F48" s="105"/>
      <x:c r="G48" s="105"/>
      <x:c r="H48" s="105"/>
      <x:c r="I48" s="105"/>
      <x:c r="J48" s="105"/>
      <x:c r="K48" s="105"/>
      <x:c r="L48" s="105"/>
      <x:c r="M48" s="105"/>
      <x:c r="N48" s="105"/>
      <x:c r="O48" s="105"/>
      <x:c r="P48" s="105"/>
      <x:c r="Q48" s="105"/>
      <x:c r="R48" s="105"/>
      <x:c r="S48" s="105"/>
      <x:c r="T48" s="105"/>
      <x:c r="U48" s="105"/>
    </x:row>
    <x:row r="49">
      <x:c r="A49" s="105"/>
      <x:c r="B49" s="105"/>
      <x:c r="C49" s="105"/>
      <x:c r="D49" s="105"/>
      <x:c r="E49" s="105"/>
      <x:c r="F49" s="105"/>
      <x:c r="G49" s="105"/>
      <x:c r="H49" s="105"/>
      <x:c r="I49" s="105"/>
      <x:c r="J49" s="105"/>
      <x:c r="K49" s="105"/>
      <x:c r="L49" s="105"/>
      <x:c r="M49" s="105"/>
      <x:c r="N49" s="105"/>
      <x:c r="O49" s="105"/>
      <x:c r="P49" s="105"/>
      <x:c r="Q49" s="105"/>
      <x:c r="R49" s="105"/>
      <x:c r="S49" s="105"/>
      <x:c r="T49" s="105"/>
      <x:c r="U49" s="105"/>
    </x:row>
    <x:row r="50">
      <x:c r="A50" s="105"/>
      <x:c r="B50" s="105"/>
      <x:c r="C50" s="105"/>
      <x:c r="D50" s="105"/>
      <x:c r="E50" s="105"/>
      <x:c r="F50" s="105"/>
      <x:c r="G50" s="105"/>
      <x:c r="H50" s="105"/>
      <x:c r="I50" s="105"/>
      <x:c r="J50" s="105"/>
      <x:c r="K50" s="105"/>
      <x:c r="L50" s="105"/>
      <x:c r="M50" s="105"/>
      <x:c r="N50" s="105"/>
      <x:c r="O50" s="105"/>
      <x:c r="P50" s="105"/>
      <x:c r="Q50" s="105"/>
      <x:c r="R50" s="105"/>
      <x:c r="S50" s="105"/>
      <x:c r="T50" s="105"/>
      <x:c r="U50" s="105"/>
    </x:row>
    <x:row r="51">
      <x:c r="A51" s="105"/>
      <x:c r="B51" s="105"/>
      <x:c r="C51" s="105"/>
      <x:c r="D51" s="105"/>
      <x:c r="E51" s="105"/>
      <x:c r="F51" s="105"/>
      <x:c r="G51" s="105"/>
      <x:c r="H51" s="105"/>
      <x:c r="I51" s="105"/>
      <x:c r="J51" s="105"/>
      <x:c r="K51" s="105"/>
      <x:c r="L51" s="105"/>
      <x:c r="M51" s="105"/>
      <x:c r="N51" s="105"/>
      <x:c r="O51" s="105"/>
      <x:c r="P51" s="105"/>
      <x:c r="Q51" s="105"/>
      <x:c r="R51" s="105"/>
      <x:c r="S51" s="105"/>
      <x:c r="T51" s="105"/>
      <x:c r="U51" s="105"/>
    </x:row>
    <x:row r="52">
      <x:c r="A52" s="105"/>
      <x:c r="B52" s="105"/>
      <x:c r="C52" s="105"/>
      <x:c r="D52" s="105"/>
      <x:c r="E52" s="105"/>
      <x:c r="F52" s="105"/>
      <x:c r="G52" s="105"/>
      <x:c r="H52" s="105"/>
      <x:c r="I52" s="105"/>
      <x:c r="J52" s="105"/>
      <x:c r="K52" s="105"/>
      <x:c r="L52" s="105"/>
      <x:c r="M52" s="105"/>
      <x:c r="N52" s="105"/>
      <x:c r="O52" s="105"/>
      <x:c r="P52" s="105"/>
      <x:c r="Q52" s="105"/>
      <x:c r="R52" s="105"/>
      <x:c r="S52" s="105"/>
      <x:c r="T52" s="105"/>
      <x:c r="U52" s="105"/>
    </x:row>
    <x:row r="53">
      <x:c r="A53" s="105"/>
      <x:c r="B53" s="105"/>
      <x:c r="C53" s="105"/>
      <x:c r="D53" s="105"/>
      <x:c r="E53" s="105"/>
      <x:c r="F53" s="105"/>
      <x:c r="G53" s="105"/>
      <x:c r="H53" s="105"/>
      <x:c r="I53" s="105"/>
      <x:c r="J53" s="105"/>
      <x:c r="K53" s="105"/>
      <x:c r="L53" s="105"/>
      <x:c r="M53" s="105"/>
      <x:c r="N53" s="105"/>
      <x:c r="O53" s="105"/>
      <x:c r="P53" s="105"/>
      <x:c r="Q53" s="105"/>
      <x:c r="R53" s="105"/>
      <x:c r="S53" s="105"/>
      <x:c r="T53" s="105"/>
      <x:c r="U53" s="105"/>
    </x:row>
    <x:row r="54">
      <x:c r="A54" s="105"/>
      <x:c r="B54" s="105"/>
      <x:c r="C54" s="105"/>
      <x:c r="D54" s="105"/>
      <x:c r="E54" s="105"/>
      <x:c r="F54" s="105"/>
      <x:c r="G54" s="105"/>
      <x:c r="H54" s="105"/>
      <x:c r="I54" s="105"/>
      <x:c r="J54" s="105"/>
      <x:c r="K54" s="105"/>
      <x:c r="L54" s="105"/>
      <x:c r="M54" s="105"/>
      <x:c r="N54" s="105"/>
      <x:c r="O54" s="105"/>
      <x:c r="P54" s="105"/>
      <x:c r="Q54" s="105"/>
      <x:c r="R54" s="105"/>
      <x:c r="S54" s="105"/>
      <x:c r="T54" s="105"/>
      <x:c r="U54" s="105"/>
    </x:row>
    <x:row r="55">
      <x:c r="A55" s="105"/>
      <x:c r="B55" s="105"/>
      <x:c r="C55" s="105"/>
      <x:c r="D55" s="105"/>
      <x:c r="E55" s="105"/>
      <x:c r="F55" s="105"/>
      <x:c r="G55" s="105"/>
      <x:c r="H55" s="105"/>
      <x:c r="I55" s="105"/>
      <x:c r="J55" s="105"/>
      <x:c r="K55" s="105"/>
      <x:c r="L55" s="105"/>
      <x:c r="M55" s="105"/>
      <x:c r="N55" s="105"/>
      <x:c r="O55" s="105"/>
      <x:c r="P55" s="105"/>
      <x:c r="Q55" s="105"/>
      <x:c r="R55" s="105"/>
      <x:c r="S55" s="105"/>
      <x:c r="T55" s="105"/>
      <x:c r="U55" s="105"/>
    </x:row>
    <x:row r="56">
      <x:c r="A56" s="105"/>
      <x:c r="B56" s="105"/>
      <x:c r="C56" s="105"/>
      <x:c r="D56" s="105"/>
      <x:c r="E56" s="105"/>
      <x:c r="F56" s="105"/>
      <x:c r="G56" s="105"/>
      <x:c r="H56" s="105"/>
      <x:c r="I56" s="105"/>
      <x:c r="J56" s="105"/>
      <x:c r="K56" s="105"/>
      <x:c r="L56" s="105"/>
      <x:c r="M56" s="105"/>
      <x:c r="N56" s="105"/>
      <x:c r="O56" s="105"/>
      <x:c r="P56" s="105"/>
      <x:c r="Q56" s="105"/>
      <x:c r="R56" s="105"/>
      <x:c r="S56" s="105"/>
      <x:c r="T56" s="105"/>
      <x:c r="U56" s="105"/>
    </x:row>
    <x:row r="57">
      <x:c r="A57" s="105"/>
      <x:c r="B57" s="105"/>
      <x:c r="C57" s="105"/>
      <x:c r="D57" s="105"/>
      <x:c r="E57" s="105"/>
      <x:c r="F57" s="105"/>
      <x:c r="G57" s="105"/>
      <x:c r="H57" s="105"/>
      <x:c r="I57" s="105"/>
      <x:c r="J57" s="105"/>
      <x:c r="K57" s="105"/>
      <x:c r="L57" s="105"/>
      <x:c r="M57" s="105"/>
      <x:c r="N57" s="105"/>
      <x:c r="O57" s="105"/>
      <x:c r="P57" s="105"/>
      <x:c r="Q57" s="105"/>
      <x:c r="R57" s="105"/>
      <x:c r="S57" s="105"/>
      <x:c r="T57" s="105"/>
      <x:c r="U57" s="105"/>
    </x:row>
    <x:row r="58">
      <x:c r="A58" s="105"/>
      <x:c r="B58" s="105"/>
      <x:c r="C58" s="105"/>
      <x:c r="D58" s="105"/>
      <x:c r="E58" s="105"/>
      <x:c r="F58" s="105"/>
      <x:c r="G58" s="105"/>
      <x:c r="H58" s="105"/>
      <x:c r="I58" s="105"/>
      <x:c r="J58" s="105"/>
      <x:c r="K58" s="105"/>
      <x:c r="L58" s="105"/>
      <x:c r="M58" s="105"/>
      <x:c r="N58" s="105"/>
      <x:c r="O58" s="105"/>
      <x:c r="P58" s="105"/>
      <x:c r="Q58" s="105"/>
      <x:c r="R58" s="105"/>
      <x:c r="S58" s="105"/>
      <x:c r="T58" s="105"/>
      <x:c r="U58" s="105"/>
    </x:row>
    <x:row r="59">
      <x:c r="A59" s="105"/>
      <x:c r="B59" s="105"/>
      <x:c r="C59" s="105"/>
      <x:c r="D59" s="105"/>
      <x:c r="E59" s="105"/>
      <x:c r="F59" s="105"/>
      <x:c r="G59" s="105"/>
      <x:c r="H59" s="105"/>
      <x:c r="I59" s="105"/>
      <x:c r="J59" s="105"/>
      <x:c r="K59" s="105"/>
      <x:c r="L59" s="105"/>
      <x:c r="M59" s="105"/>
      <x:c r="N59" s="105"/>
      <x:c r="O59" s="105"/>
      <x:c r="P59" s="105"/>
      <x:c r="Q59" s="105"/>
      <x:c r="R59" s="105"/>
      <x:c r="S59" s="105"/>
      <x:c r="T59" s="105"/>
      <x:c r="U59" s="105"/>
    </x:row>
    <x:row r="60">
      <x:c r="A60" s="105"/>
      <x:c r="B60" s="105"/>
      <x:c r="C60" s="105"/>
      <x:c r="D60" s="105"/>
      <x:c r="E60" s="105"/>
      <x:c r="F60" s="105"/>
      <x:c r="G60" s="105"/>
      <x:c r="H60" s="105"/>
      <x:c r="I60" s="105"/>
      <x:c r="J60" s="105"/>
      <x:c r="K60" s="105"/>
      <x:c r="L60" s="105"/>
      <x:c r="M60" s="105"/>
      <x:c r="N60" s="105"/>
      <x:c r="O60" s="105"/>
      <x:c r="P60" s="105"/>
      <x:c r="Q60" s="105"/>
      <x:c r="R60" s="105"/>
      <x:c r="S60" s="105"/>
      <x:c r="T60" s="105"/>
      <x:c r="U60" s="105"/>
    </x:row>
    <x:row r="61">
      <x:c r="A61" s="105"/>
      <x:c r="B61" s="105"/>
      <x:c r="C61" s="105"/>
      <x:c r="D61" s="105"/>
      <x:c r="E61" s="105"/>
      <x:c r="F61" s="105"/>
      <x:c r="G61" s="105"/>
      <x:c r="H61" s="105"/>
      <x:c r="I61" s="105"/>
      <x:c r="J61" s="105"/>
      <x:c r="K61" s="105"/>
      <x:c r="L61" s="105"/>
      <x:c r="M61" s="105"/>
      <x:c r="N61" s="105"/>
      <x:c r="O61" s="105"/>
      <x:c r="P61" s="105"/>
      <x:c r="Q61" s="105"/>
      <x:c r="R61" s="105"/>
      <x:c r="S61" s="105"/>
      <x:c r="T61" s="105"/>
      <x:c r="U61" s="105"/>
    </x:row>
    <x:row r="62">
      <x:c r="A62" s="105"/>
      <x:c r="B62" s="105"/>
      <x:c r="C62" s="105"/>
      <x:c r="D62" s="105"/>
      <x:c r="E62" s="105"/>
      <x:c r="F62" s="105"/>
      <x:c r="G62" s="105"/>
      <x:c r="H62" s="105"/>
      <x:c r="I62" s="105"/>
      <x:c r="J62" s="105"/>
      <x:c r="K62" s="105"/>
      <x:c r="L62" s="105"/>
      <x:c r="M62" s="105"/>
      <x:c r="N62" s="105"/>
      <x:c r="O62" s="105"/>
      <x:c r="P62" s="105"/>
      <x:c r="Q62" s="105"/>
      <x:c r="R62" s="105"/>
      <x:c r="S62" s="105"/>
      <x:c r="T62" s="105"/>
      <x:c r="U62" s="105"/>
    </x:row>
    <x:row r="63">
      <x:c r="A63" s="105"/>
      <x:c r="B63" s="105"/>
      <x:c r="C63" s="105"/>
      <x:c r="D63" s="105"/>
      <x:c r="E63" s="105"/>
      <x:c r="F63" s="105"/>
      <x:c r="G63" s="105"/>
      <x:c r="H63" s="105"/>
      <x:c r="I63" s="105"/>
      <x:c r="J63" s="105"/>
      <x:c r="K63" s="105"/>
      <x:c r="L63" s="105"/>
      <x:c r="M63" s="105"/>
      <x:c r="N63" s="105"/>
      <x:c r="O63" s="105"/>
      <x:c r="P63" s="105"/>
      <x:c r="Q63" s="105"/>
      <x:c r="R63" s="105"/>
      <x:c r="S63" s="105"/>
      <x:c r="T63" s="105"/>
      <x:c r="U63" s="105"/>
    </x:row>
    <x:row r="64">
      <x:c r="A64" s="105"/>
      <x:c r="B64" s="105"/>
      <x:c r="C64" s="105"/>
      <x:c r="D64" s="105"/>
      <x:c r="E64" s="105"/>
      <x:c r="F64" s="105"/>
      <x:c r="G64" s="105"/>
      <x:c r="H64" s="105"/>
      <x:c r="I64" s="105"/>
      <x:c r="J64" s="105"/>
      <x:c r="K64" s="105"/>
      <x:c r="L64" s="105"/>
      <x:c r="M64" s="105"/>
      <x:c r="N64" s="105"/>
      <x:c r="O64" s="105"/>
      <x:c r="P64" s="105"/>
      <x:c r="Q64" s="105"/>
      <x:c r="R64" s="105"/>
      <x:c r="S64" s="105"/>
      <x:c r="T64" s="105"/>
      <x:c r="U64" s="105"/>
    </x:row>
    <x:row r="65">
      <x:c r="A65" s="105"/>
      <x:c r="B65" s="105"/>
      <x:c r="C65" s="105"/>
      <x:c r="D65" s="105"/>
      <x:c r="E65" s="105"/>
      <x:c r="F65" s="105"/>
      <x:c r="G65" s="105"/>
      <x:c r="H65" s="105"/>
      <x:c r="I65" s="105"/>
      <x:c r="J65" s="105"/>
      <x:c r="K65" s="105"/>
      <x:c r="L65" s="105"/>
      <x:c r="M65" s="105"/>
      <x:c r="N65" s="105"/>
      <x:c r="O65" s="105"/>
      <x:c r="P65" s="105"/>
      <x:c r="Q65" s="105"/>
      <x:c r="R65" s="105"/>
      <x:c r="S65" s="105"/>
      <x:c r="T65" s="105"/>
      <x:c r="U65" s="105"/>
    </x:row>
    <x:row r="66">
      <x:c r="A66" s="105"/>
      <x:c r="B66" s="105"/>
      <x:c r="C66" s="105"/>
      <x:c r="D66" s="105"/>
      <x:c r="E66" s="105"/>
      <x:c r="F66" s="105"/>
      <x:c r="G66" s="105"/>
      <x:c r="H66" s="105"/>
      <x:c r="I66" s="105"/>
      <x:c r="J66" s="105"/>
      <x:c r="K66" s="105"/>
      <x:c r="L66" s="105"/>
      <x:c r="M66" s="105"/>
      <x:c r="N66" s="105"/>
      <x:c r="O66" s="105"/>
      <x:c r="P66" s="105"/>
      <x:c r="Q66" s="105"/>
      <x:c r="R66" s="105"/>
      <x:c r="S66" s="105"/>
      <x:c r="T66" s="105"/>
      <x:c r="U66" s="105"/>
    </x:row>
    <x:row r="67">
      <x:c r="A67" s="105"/>
      <x:c r="B67" s="105"/>
      <x:c r="C67" s="105"/>
      <x:c r="D67" s="105"/>
      <x:c r="E67" s="105"/>
      <x:c r="F67" s="105"/>
      <x:c r="G67" s="105"/>
      <x:c r="H67" s="105"/>
      <x:c r="I67" s="105"/>
      <x:c r="J67" s="105"/>
      <x:c r="K67" s="105"/>
      <x:c r="L67" s="105"/>
      <x:c r="M67" s="105"/>
      <x:c r="N67" s="105"/>
      <x:c r="O67" s="105"/>
      <x:c r="P67" s="105"/>
      <x:c r="Q67" s="105"/>
      <x:c r="R67" s="105"/>
      <x:c r="S67" s="105"/>
      <x:c r="T67" s="105"/>
      <x:c r="U67" s="105"/>
    </x:row>
    <x:row r="68">
      <x:c r="A68" s="105"/>
      <x:c r="B68" s="105"/>
      <x:c r="C68" s="105"/>
      <x:c r="D68" s="105"/>
      <x:c r="E68" s="105"/>
      <x:c r="F68" s="105"/>
      <x:c r="G68" s="105"/>
      <x:c r="H68" s="105"/>
      <x:c r="I68" s="105"/>
      <x:c r="J68" s="105"/>
      <x:c r="K68" s="105"/>
      <x:c r="L68" s="105"/>
      <x:c r="M68" s="105"/>
      <x:c r="N68" s="105"/>
      <x:c r="O68" s="105"/>
      <x:c r="P68" s="105"/>
      <x:c r="Q68" s="105"/>
      <x:c r="R68" s="105"/>
      <x:c r="S68" s="105"/>
      <x:c r="T68" s="105"/>
      <x:c r="U68" s="105"/>
    </x:row>
    <x:row r="69">
      <x:c r="A69" s="105"/>
      <x:c r="B69" s="105"/>
      <x:c r="C69" s="105"/>
      <x:c r="D69" s="105"/>
      <x:c r="E69" s="105"/>
      <x:c r="F69" s="105"/>
      <x:c r="G69" s="105"/>
      <x:c r="H69" s="105"/>
      <x:c r="I69" s="105"/>
      <x:c r="J69" s="105"/>
      <x:c r="K69" s="105"/>
      <x:c r="L69" s="105"/>
      <x:c r="M69" s="105"/>
      <x:c r="N69" s="105"/>
      <x:c r="O69" s="105"/>
      <x:c r="P69" s="105"/>
      <x:c r="Q69" s="105"/>
      <x:c r="R69" s="105"/>
      <x:c r="S69" s="105"/>
      <x:c r="T69" s="105"/>
      <x:c r="U69" s="105"/>
    </x:row>
    <x:row r="70">
      <x:c r="A70" s="105"/>
      <x:c r="B70" s="105"/>
      <x:c r="C70" s="105"/>
      <x:c r="D70" s="105"/>
      <x:c r="E70" s="105"/>
      <x:c r="F70" s="105"/>
      <x:c r="G70" s="105"/>
      <x:c r="H70" s="105"/>
      <x:c r="I70" s="105"/>
      <x:c r="J70" s="105"/>
      <x:c r="K70" s="105"/>
      <x:c r="L70" s="105"/>
      <x:c r="M70" s="105"/>
      <x:c r="N70" s="105"/>
      <x:c r="O70" s="105"/>
      <x:c r="P70" s="105"/>
      <x:c r="Q70" s="105"/>
      <x:c r="R70" s="105"/>
      <x:c r="S70" s="105"/>
      <x:c r="T70" s="105"/>
      <x:c r="U70" s="105"/>
    </x:row>
    <x:row r="71">
      <x:c r="A71" s="105"/>
      <x:c r="B71" s="105"/>
      <x:c r="C71" s="105"/>
      <x:c r="D71" s="105"/>
      <x:c r="E71" s="105"/>
      <x:c r="F71" s="105"/>
      <x:c r="G71" s="105"/>
      <x:c r="H71" s="105"/>
      <x:c r="I71" s="105"/>
      <x:c r="J71" s="105"/>
      <x:c r="K71" s="105"/>
      <x:c r="L71" s="105"/>
      <x:c r="M71" s="105"/>
      <x:c r="N71" s="105"/>
      <x:c r="O71" s="105"/>
      <x:c r="P71" s="105"/>
      <x:c r="Q71" s="105"/>
      <x:c r="R71" s="105"/>
      <x:c r="S71" s="105"/>
      <x:c r="T71" s="105"/>
      <x:c r="U71" s="105"/>
    </x:row>
    <x:row r="72">
      <x:c r="A72" s="105"/>
      <x:c r="B72" s="105"/>
      <x:c r="C72" s="105"/>
      <x:c r="D72" s="105"/>
      <x:c r="E72" s="105"/>
      <x:c r="F72" s="105"/>
      <x:c r="G72" s="105"/>
      <x:c r="H72" s="105"/>
      <x:c r="I72" s="105"/>
      <x:c r="J72" s="105"/>
      <x:c r="K72" s="105"/>
      <x:c r="L72" s="105"/>
      <x:c r="M72" s="105"/>
      <x:c r="N72" s="105"/>
      <x:c r="O72" s="105"/>
      <x:c r="P72" s="105"/>
      <x:c r="Q72" s="105"/>
      <x:c r="R72" s="105"/>
      <x:c r="S72" s="105"/>
      <x:c r="T72" s="105"/>
      <x:c r="U72" s="105"/>
    </x:row>
    <x:row r="73">
      <x:c r="A73" s="105"/>
      <x:c r="B73" s="105"/>
      <x:c r="C73" s="105"/>
      <x:c r="D73" s="105"/>
      <x:c r="E73" s="105"/>
      <x:c r="F73" s="105"/>
      <x:c r="G73" s="105"/>
      <x:c r="H73" s="105"/>
      <x:c r="I73" s="105"/>
      <x:c r="J73" s="105"/>
      <x:c r="K73" s="105"/>
      <x:c r="L73" s="105"/>
      <x:c r="M73" s="105"/>
      <x:c r="N73" s="105"/>
      <x:c r="O73" s="105"/>
      <x:c r="P73" s="105"/>
      <x:c r="Q73" s="105"/>
      <x:c r="R73" s="105"/>
      <x:c r="S73" s="105"/>
      <x:c r="T73" s="105"/>
      <x:c r="U73" s="105"/>
    </x:row>
    <x:row r="74">
      <x:c r="A74" s="105"/>
      <x:c r="B74" s="105"/>
      <x:c r="C74" s="105"/>
      <x:c r="D74" s="105"/>
      <x:c r="E74" s="105"/>
      <x:c r="F74" s="105"/>
      <x:c r="G74" s="105"/>
      <x:c r="H74" s="105"/>
      <x:c r="I74" s="105"/>
      <x:c r="J74" s="105"/>
      <x:c r="K74" s="105"/>
      <x:c r="L74" s="105"/>
      <x:c r="M74" s="105"/>
      <x:c r="N74" s="105"/>
      <x:c r="O74" s="105"/>
      <x:c r="P74" s="105"/>
      <x:c r="Q74" s="105"/>
      <x:c r="R74" s="105"/>
      <x:c r="S74" s="105"/>
      <x:c r="T74" s="105"/>
      <x:c r="U74" s="105"/>
    </x:row>
    <x:row r="75">
      <x:c r="A75" s="105"/>
      <x:c r="B75" s="105"/>
      <x:c r="C75" s="105"/>
      <x:c r="D75" s="105"/>
      <x:c r="E75" s="105"/>
      <x:c r="F75" s="105"/>
      <x:c r="G75" s="105"/>
      <x:c r="H75" s="105"/>
      <x:c r="I75" s="105"/>
      <x:c r="J75" s="105"/>
      <x:c r="K75" s="105"/>
      <x:c r="L75" s="105"/>
      <x:c r="M75" s="105"/>
      <x:c r="N75" s="105"/>
      <x:c r="O75" s="105"/>
      <x:c r="P75" s="105"/>
      <x:c r="Q75" s="105"/>
      <x:c r="R75" s="105"/>
      <x:c r="S75" s="105"/>
      <x:c r="T75" s="105"/>
      <x:c r="U75" s="105"/>
    </x:row>
    <x:row r="76">
      <x:c r="A76" s="105"/>
      <x:c r="B76" s="105"/>
      <x:c r="C76" s="105"/>
      <x:c r="D76" s="105"/>
      <x:c r="E76" s="105"/>
      <x:c r="F76" s="105"/>
      <x:c r="G76" s="105"/>
      <x:c r="H76" s="105"/>
      <x:c r="I76" s="105"/>
      <x:c r="J76" s="105"/>
      <x:c r="K76" s="105"/>
      <x:c r="L76" s="105"/>
      <x:c r="M76" s="105"/>
      <x:c r="N76" s="105"/>
      <x:c r="O76" s="105"/>
      <x:c r="P76" s="105"/>
      <x:c r="Q76" s="105"/>
      <x:c r="R76" s="105"/>
      <x:c r="S76" s="105"/>
      <x:c r="T76" s="105"/>
      <x:c r="U76" s="105"/>
    </x:row>
    <x:row r="77">
      <x:c r="A77" s="105"/>
      <x:c r="B77" s="105"/>
      <x:c r="C77" s="105"/>
      <x:c r="D77" s="105"/>
      <x:c r="E77" s="105"/>
      <x:c r="F77" s="105"/>
      <x:c r="G77" s="105"/>
      <x:c r="H77" s="105"/>
      <x:c r="I77" s="105"/>
      <x:c r="J77" s="105"/>
      <x:c r="K77" s="105"/>
      <x:c r="L77" s="105"/>
      <x:c r="M77" s="105"/>
      <x:c r="N77" s="105"/>
      <x:c r="O77" s="105"/>
      <x:c r="P77" s="105"/>
      <x:c r="Q77" s="105"/>
      <x:c r="R77" s="105"/>
      <x:c r="S77" s="105"/>
      <x:c r="T77" s="105"/>
      <x:c r="U77" s="105"/>
    </x:row>
    <x:row r="78">
      <x:c r="A78" s="105"/>
      <x:c r="B78" s="105"/>
      <x:c r="C78" s="105"/>
      <x:c r="D78" s="105"/>
      <x:c r="E78" s="105"/>
      <x:c r="F78" s="105"/>
      <x:c r="G78" s="105"/>
      <x:c r="H78" s="105"/>
      <x:c r="I78" s="105"/>
      <x:c r="J78" s="105"/>
      <x:c r="K78" s="105"/>
      <x:c r="L78" s="105"/>
      <x:c r="M78" s="105"/>
      <x:c r="N78" s="105"/>
      <x:c r="O78" s="105"/>
      <x:c r="P78" s="105"/>
      <x:c r="Q78" s="105"/>
      <x:c r="R78" s="105"/>
      <x:c r="S78" s="105"/>
      <x:c r="T78" s="105"/>
      <x:c r="U78" s="105"/>
    </x:row>
    <x:row r="79">
      <x:c r="A79" s="105"/>
      <x:c r="B79" s="105"/>
      <x:c r="C79" s="105"/>
      <x:c r="D79" s="105"/>
      <x:c r="E79" s="105"/>
      <x:c r="F79" s="105"/>
      <x:c r="G79" s="105"/>
      <x:c r="H79" s="105"/>
      <x:c r="I79" s="105"/>
      <x:c r="J79" s="105"/>
      <x:c r="K79" s="105"/>
      <x:c r="L79" s="105"/>
      <x:c r="M79" s="105"/>
      <x:c r="N79" s="105"/>
      <x:c r="O79" s="105"/>
      <x:c r="P79" s="105"/>
      <x:c r="Q79" s="105"/>
      <x:c r="R79" s="105"/>
      <x:c r="S79" s="105"/>
      <x:c r="T79" s="105"/>
      <x:c r="U79" s="105"/>
    </x:row>
    <x:row r="80">
      <x:c r="A80" s="105"/>
      <x:c r="B80" s="105"/>
      <x:c r="C80" s="105"/>
      <x:c r="D80" s="105"/>
      <x:c r="E80" s="105"/>
      <x:c r="F80" s="105"/>
      <x:c r="G80" s="105"/>
      <x:c r="H80" s="105"/>
      <x:c r="I80" s="105"/>
      <x:c r="J80" s="105"/>
      <x:c r="K80" s="105"/>
      <x:c r="L80" s="105"/>
      <x:c r="M80" s="105"/>
      <x:c r="N80" s="105"/>
      <x:c r="O80" s="105"/>
      <x:c r="P80" s="105"/>
      <x:c r="Q80" s="105"/>
      <x:c r="R80" s="105"/>
      <x:c r="S80" s="105"/>
      <x:c r="T80" s="105"/>
      <x:c r="U80" s="10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8" hidden="0" customWidth="1"/>
    <x:col min="13" max="13" width="34" hidden="0" customWidth="1"/>
  </x:cols>
  <x:sheetData>
    <x:row r="1">
      <x:c r="A1" s="140" t="str">
        <x:v>Building ID</x:v>
      </x:c>
      <x:c r="B1" s="140" t="str">
        <x:v>Building Name</x:v>
      </x:c>
      <x:c r="C1" s="140" t="str">
        <x:v>Rank</x:v>
      </x:c>
      <x:c r="D1" s="140" t="str">
        <x:v>Unlock Empire Level</x:v>
      </x:c>
      <x:c r="E1" s="140" t="str">
        <x:v>Category</x:v>
      </x:c>
      <x:c r="F1" s="140" t="str">
        <x:v>Base Net Cash / Day</x:v>
      </x:c>
      <x:c r="G1" s="140" t="str">
        <x:v>Stage 1 Net / Day</x:v>
      </x:c>
      <x:c r="H1" s="140" t="str">
        <x:v>Stage 2 Net / Day</x:v>
      </x:c>
      <x:c r="I1" s="140" t="str">
        <x:v>Stage 3 Net / Day</x:v>
      </x:c>
      <x:c r="J1" s="140" t="str">
        <x:v>Stage 2 Upgrade Cost</x:v>
      </x:c>
      <x:c r="K1" s="140" t="str">
        <x:v>Stage 3 Upgrade Cost</x:v>
      </x:c>
      <x:c r="L1" s="140" t="str">
        <x:v>Primary Segment</x:v>
      </x:c>
      <x:c r="M1" s="140" t="str">
        <x:v>Source / Basis</x:v>
      </x:c>
      <x:c r="N1" s="105"/>
      <x:c r="O1" s="105"/>
      <x:c r="P1" s="105"/>
      <x:c r="Q1" s="105"/>
      <x:c r="R1" s="105"/>
      <x:c r="S1" s="105"/>
      <x:c r="T1" s="105"/>
      <x:c r="U1" s="105"/>
    </x:row>
    <x:row r="2">
      <x:c r="A2" s="107" t="str">
        <x:v>BLD001</x:v>
      </x:c>
      <x:c r="B2" s="107" t="str">
        <x:v>Cash Kiosk</x:v>
      </x:c>
      <x:c r="C2" s="107" t="str">
        <x:v>Humble</x:v>
      </x:c>
      <x:c r="D2" s="107" t="n">
        <x:v>1</x:v>
      </x:c>
      <x:c r="E2" s="107" t="str">
        <x:v>Retail Finance</x:v>
      </x:c>
      <x:c r="F2" s="148" t="n">
        <x:v>25</x:v>
      </x:c>
      <x:c r="G2" s="149" t="n">
        <x:f>F2*Assumptions!$B$6</x:f>
        <x:v>25</x:v>
      </x:c>
      <x:c r="H2" s="149" t="n">
        <x:f>F2*Assumptions!$B$7</x:f>
        <x:v>33.75</x:v>
      </x:c>
      <x:c r="I2" s="149" t="n">
        <x:f>F2*Assumptions!$B$8</x:f>
        <x:v>45</x:v>
      </x:c>
      <x:c r="J2" s="149" t="n">
        <x:f>(H2-G2)*Assumptions!$B$9</x:f>
        <x:v>43.75</x:v>
      </x:c>
      <x:c r="K2" s="149" t="n">
        <x:f>(I2-H2)*Assumptions!$B$10</x:f>
        <x:v>90</x:v>
      </x:c>
      <x:c r="L2" s="107" t="str">
        <x:v>Mass Retail</x:v>
      </x:c>
      <x:c r="M2" s="107" t="str">
        <x:v>v0.2 calibrated internal balancing assumption</x:v>
      </x:c>
      <x:c r="N2" s="105"/>
      <x:c r="O2" s="105"/>
      <x:c r="P2" s="105"/>
      <x:c r="Q2" s="105"/>
      <x:c r="R2" s="105"/>
      <x:c r="S2" s="105"/>
      <x:c r="T2" s="105"/>
      <x:c r="U2" s="105"/>
    </x:row>
    <x:row r="3">
      <x:c r="A3" s="107" t="str">
        <x:v>BLD002</x:v>
      </x:c>
      <x:c r="B3" s="107" t="str">
        <x:v>Trading Booth</x:v>
      </x:c>
      <x:c r="C3" s="107" t="str">
        <x:v>Humble</x:v>
      </x:c>
      <x:c r="D3" s="107" t="n">
        <x:v>1</x:v>
      </x:c>
      <x:c r="E3" s="107" t="str">
        <x:v>Trading &amp; Markets</x:v>
      </x:c>
      <x:c r="F3" s="148" t="n">
        <x:v>32</x:v>
      </x:c>
      <x:c r="G3" s="149" t="n">
        <x:f>F3*Assumptions!$B$6</x:f>
        <x:v>32</x:v>
      </x:c>
      <x:c r="H3" s="149" t="n">
        <x:f>F3*Assumptions!$B$7</x:f>
        <x:v>43.2</x:v>
      </x:c>
      <x:c r="I3" s="149" t="n">
        <x:f>F3*Assumptions!$B$8</x:f>
        <x:v>57.6</x:v>
      </x:c>
      <x:c r="J3" s="149" t="n">
        <x:f>(H3-G3)*Assumptions!$B$9</x:f>
        <x:v>56.000000000000014</x:v>
      </x:c>
      <x:c r="K3" s="149" t="n">
        <x:f>(I3-H3)*Assumptions!$B$10</x:f>
        <x:v>115.19999999999999</x:v>
      </x:c>
      <x:c r="L3" s="107" t="str">
        <x:v>Active Trader / Institutional</x:v>
      </x:c>
      <x:c r="M3" s="107" t="str">
        <x:v>v0.2 calibrated internal balancing assumption</x:v>
      </x:c>
      <x:c r="N3" s="105"/>
      <x:c r="O3" s="105"/>
      <x:c r="P3" s="105"/>
      <x:c r="Q3" s="105"/>
      <x:c r="R3" s="105"/>
      <x:c r="S3" s="105"/>
      <x:c r="T3" s="105"/>
      <x:c r="U3" s="105"/>
    </x:row>
    <x:row r="4">
      <x:c r="A4" s="107" t="str">
        <x:v>BLD003</x:v>
      </x:c>
      <x:c r="B4" s="107" t="str">
        <x:v>Savings Stand</x:v>
      </x:c>
      <x:c r="C4" s="107" t="str">
        <x:v>Humble</x:v>
      </x:c>
      <x:c r="D4" s="107" t="n">
        <x:v>2</x:v>
      </x:c>
      <x:c r="E4" s="107" t="str">
        <x:v>Banking &amp; Savings</x:v>
      </x:c>
      <x:c r="F4" s="148" t="n">
        <x:v>39</x:v>
      </x:c>
      <x:c r="G4" s="149" t="n">
        <x:f>F4*Assumptions!$B$6</x:f>
        <x:v>39</x:v>
      </x:c>
      <x:c r="H4" s="149" t="n">
        <x:f>F4*Assumptions!$B$7</x:f>
        <x:v>52.650000000000006</x:v>
      </x:c>
      <x:c r="I4" s="149" t="n">
        <x:f>F4*Assumptions!$B$8</x:f>
        <x:v>70.2</x:v>
      </x:c>
      <x:c r="J4" s="149" t="n">
        <x:f>(H4-G4)*Assumptions!$B$9</x:f>
        <x:v>68.25000000000003</x:v>
      </x:c>
      <x:c r="K4" s="149" t="n">
        <x:f>(I4-H4)*Assumptions!$B$10</x:f>
        <x:v>140.39999999999998</x:v>
      </x:c>
      <x:c r="L4" s="107" t="str">
        <x:v>Mass Retail / Affluent</x:v>
      </x:c>
      <x:c r="M4" s="107" t="str">
        <x:v>v0.2 calibrated internal balancing assumption</x:v>
      </x:c>
      <x:c r="N4" s="105"/>
      <x:c r="O4" s="105"/>
      <x:c r="P4" s="105"/>
      <x:c r="Q4" s="105"/>
      <x:c r="R4" s="105"/>
      <x:c r="S4" s="105"/>
      <x:c r="T4" s="105"/>
      <x:c r="U4" s="105"/>
    </x:row>
    <x:row r="5">
      <x:c r="A5" s="107" t="str">
        <x:v>BLD004</x:v>
      </x:c>
      <x:c r="B5" s="107" t="str">
        <x:v>Mini Brokerage Desk</x:v>
      </x:c>
      <x:c r="C5" s="107" t="str">
        <x:v>Humble</x:v>
      </x:c>
      <x:c r="D5" s="107" t="n">
        <x:v>2</x:v>
      </x:c>
      <x:c r="E5" s="107" t="str">
        <x:v>Brokerage</x:v>
      </x:c>
      <x:c r="F5" s="148" t="n">
        <x:v>46</x:v>
      </x:c>
      <x:c r="G5" s="149" t="n">
        <x:f>F5*Assumptions!$B$6</x:f>
        <x:v>46</x:v>
      </x:c>
      <x:c r="H5" s="149" t="n">
        <x:f>F5*Assumptions!$B$7</x:f>
        <x:v>62.1</x:v>
      </x:c>
      <x:c r="I5" s="149" t="n">
        <x:f>F5*Assumptions!$B$8</x:f>
        <x:v>82.8</x:v>
      </x:c>
      <x:c r="J5" s="149" t="n">
        <x:f>(H5-G5)*Assumptions!$B$9</x:f>
        <x:v>80.5</x:v>
      </x:c>
      <x:c r="K5" s="149" t="n">
        <x:f>(I5-H5)*Assumptions!$B$10</x:f>
        <x:v>165.59999999999997</x:v>
      </x:c>
      <x:c r="L5" s="107" t="str">
        <x:v>Retail Investor / Affluent</x:v>
      </x:c>
      <x:c r="M5" s="107" t="str">
        <x:v>v0.2 calibrated internal balancing assumption</x:v>
      </x:c>
      <x:c r="N5" s="105"/>
      <x:c r="O5" s="105"/>
      <x:c r="P5" s="105"/>
      <x:c r="Q5" s="105"/>
      <x:c r="R5" s="105"/>
      <x:c r="S5" s="105"/>
      <x:c r="T5" s="105"/>
      <x:c r="U5" s="105"/>
    </x:row>
    <x:row r="6">
      <x:c r="A6" s="107" t="str">
        <x:v>BLD005</x:v>
      </x:c>
      <x:c r="B6" s="107" t="str">
        <x:v>Market Info Kiosk</x:v>
      </x:c>
      <x:c r="C6" s="107" t="str">
        <x:v>Humble</x:v>
      </x:c>
      <x:c r="D6" s="107" t="n">
        <x:v>2</x:v>
      </x:c>
      <x:c r="E6" s="107" t="str">
        <x:v>Research, Data &amp; Fintech</x:v>
      </x:c>
      <x:c r="F6" s="148" t="n">
        <x:v>53</x:v>
      </x:c>
      <x:c r="G6" s="149" t="n">
        <x:f>F6*Assumptions!$B$6</x:f>
        <x:v>53</x:v>
      </x:c>
      <x:c r="H6" s="149" t="n">
        <x:f>F6*Assumptions!$B$7</x:f>
        <x:v>71.55000000000001</x:v>
      </x:c>
      <x:c r="I6" s="149" t="n">
        <x:f>F6*Assumptions!$B$8</x:f>
        <x:v>95.4</x:v>
      </x:c>
      <x:c r="J6" s="149" t="n">
        <x:f>(H6-G6)*Assumptions!$B$9</x:f>
        <x:v>92.75000000000006</x:v>
      </x:c>
      <x:c r="K6" s="149" t="n">
        <x:f>(I6-H6)*Assumptions!$B$10</x:f>
        <x:v>190.79999999999995</x:v>
      </x:c>
      <x:c r="L6" s="107" t="str">
        <x:v>Professional / Institutional</x:v>
      </x:c>
      <x:c r="M6" s="107" t="str">
        <x:v>v0.2 calibrated internal balancing assumption</x:v>
      </x:c>
      <x:c r="N6" s="105"/>
      <x:c r="O6" s="105"/>
      <x:c r="P6" s="105"/>
      <x:c r="Q6" s="105"/>
      <x:c r="R6" s="105"/>
      <x:c r="S6" s="105"/>
      <x:c r="T6" s="105"/>
      <x:c r="U6" s="105"/>
    </x:row>
    <x:row r="7">
      <x:c r="A7" s="107" t="str">
        <x:v>BLD006</x:v>
      </x:c>
      <x:c r="B7" s="107" t="str">
        <x:v>Micro Loan Booth</x:v>
      </x:c>
      <x:c r="C7" s="107" t="str">
        <x:v>Humble</x:v>
      </x:c>
      <x:c r="D7" s="107" t="n">
        <x:v>3</x:v>
      </x:c>
      <x:c r="E7" s="107" t="str">
        <x:v>Lending &amp; Credit</x:v>
      </x:c>
      <x:c r="F7" s="148" t="n">
        <x:v>60</x:v>
      </x:c>
      <x:c r="G7" s="149" t="n">
        <x:f>F7*Assumptions!$B$6</x:f>
        <x:v>60</x:v>
      </x:c>
      <x:c r="H7" s="149" t="n">
        <x:f>F7*Assumptions!$B$7</x:f>
        <x:v>81</x:v>
      </x:c>
      <x:c r="I7" s="149" t="n">
        <x:f>F7*Assumptions!$B$8</x:f>
        <x:v>108</x:v>
      </x:c>
      <x:c r="J7" s="149" t="n">
        <x:f>(H7-G7)*Assumptions!$B$9</x:f>
        <x:v>105</x:v>
      </x:c>
      <x:c r="K7" s="149" t="n">
        <x:f>(I7-H7)*Assumptions!$B$10</x:f>
        <x:v>216</x:v>
      </x:c>
      <x:c r="L7" s="107" t="str">
        <x:v>Mass Retail / SMB</x:v>
      </x:c>
      <x:c r="M7" s="107" t="str">
        <x:v>v0.2 calibrated internal balancing assumption</x:v>
      </x:c>
      <x:c r="N7" s="105"/>
      <x:c r="O7" s="105"/>
      <x:c r="P7" s="105"/>
      <x:c r="Q7" s="105"/>
      <x:c r="R7" s="105"/>
      <x:c r="S7" s="105"/>
      <x:c r="T7" s="105"/>
      <x:c r="U7" s="105"/>
    </x:row>
    <x:row r="8">
      <x:c r="A8" s="107" t="str">
        <x:v>BLD007</x:v>
      </x:c>
      <x:c r="B8" s="107" t="str">
        <x:v>Currency Exchange Stand</x:v>
      </x:c>
      <x:c r="C8" s="107" t="str">
        <x:v>Humble</x:v>
      </x:c>
      <x:c r="D8" s="107" t="n">
        <x:v>3</x:v>
      </x:c>
      <x:c r="E8" s="107" t="str">
        <x:v>Trading &amp; Markets</x:v>
      </x:c>
      <x:c r="F8" s="148" t="n">
        <x:v>67</x:v>
      </x:c>
      <x:c r="G8" s="149" t="n">
        <x:f>F8*Assumptions!$B$6</x:f>
        <x:v>67</x:v>
      </x:c>
      <x:c r="H8" s="149" t="n">
        <x:f>F8*Assumptions!$B$7</x:f>
        <x:v>90.45</x:v>
      </x:c>
      <x:c r="I8" s="149" t="n">
        <x:f>F8*Assumptions!$B$8</x:f>
        <x:v>120.60000000000001</x:v>
      </x:c>
      <x:c r="J8" s="149" t="n">
        <x:f>(H8-G8)*Assumptions!$B$9</x:f>
        <x:v>117.25000000000001</x:v>
      </x:c>
      <x:c r="K8" s="149" t="n">
        <x:f>(I8-H8)*Assumptions!$B$10</x:f>
        <x:v>241.20000000000005</x:v>
      </x:c>
      <x:c r="L8" s="107" t="str">
        <x:v>Active Trader / Institutional</x:v>
      </x:c>
      <x:c r="M8" s="107" t="str">
        <x:v>v0.2 calibrated internal balancing assumption</x:v>
      </x:c>
      <x:c r="N8" s="105"/>
      <x:c r="O8" s="105"/>
      <x:c r="P8" s="105"/>
      <x:c r="Q8" s="105"/>
      <x:c r="R8" s="105"/>
      <x:c r="S8" s="105"/>
      <x:c r="T8" s="105"/>
      <x:c r="U8" s="105"/>
    </x:row>
    <x:row r="9">
      <x:c r="A9" s="107" t="str">
        <x:v>BLD008</x:v>
      </x:c>
      <x:c r="B9" s="107" t="str">
        <x:v>Insurance Desk</x:v>
      </x:c>
      <x:c r="C9" s="107" t="str">
        <x:v>Humble</x:v>
      </x:c>
      <x:c r="D9" s="107" t="n">
        <x:v>3</x:v>
      </x:c>
      <x:c r="E9" s="107" t="str">
        <x:v>Insurance &amp; Risk</x:v>
      </x:c>
      <x:c r="F9" s="148" t="n">
        <x:v>74</x:v>
      </x:c>
      <x:c r="G9" s="149" t="n">
        <x:f>F9*Assumptions!$B$6</x:f>
        <x:v>74</x:v>
      </x:c>
      <x:c r="H9" s="149" t="n">
        <x:f>F9*Assumptions!$B$7</x:f>
        <x:v>99.9</x:v>
      </x:c>
      <x:c r="I9" s="149" t="n">
        <x:f>F9*Assumptions!$B$8</x:f>
        <x:v>133.20000000000002</x:v>
      </x:c>
      <x:c r="J9" s="149" t="n">
        <x:f>(H9-G9)*Assumptions!$B$9</x:f>
        <x:v>129.50000000000003</x:v>
      </x:c>
      <x:c r="K9" s="149" t="n">
        <x:f>(I9-H9)*Assumptions!$B$10</x:f>
        <x:v>266.4000000000001</x:v>
      </x:c>
      <x:c r="L9" s="107" t="str">
        <x:v>Retail / SMB / Affluent</x:v>
      </x:c>
      <x:c r="M9" s="107" t="str">
        <x:v>v0.2 calibrated internal balancing assumption</x:v>
      </x:c>
      <x:c r="N9" s="105"/>
      <x:c r="O9" s="105"/>
      <x:c r="P9" s="105"/>
      <x:c r="Q9" s="105"/>
      <x:c r="R9" s="105"/>
      <x:c r="S9" s="105"/>
      <x:c r="T9" s="105"/>
      <x:c r="U9" s="105"/>
    </x:row>
    <x:row r="10">
      <x:c r="A10" s="107" t="str">
        <x:v>BLD009</x:v>
      </x:c>
      <x:c r="B10" s="107" t="str">
        <x:v>Investment Advice Booth</x:v>
      </x:c>
      <x:c r="C10" s="107" t="str">
        <x:v>Humble</x:v>
      </x:c>
      <x:c r="D10" s="107" t="n">
        <x:v>4</x:v>
      </x:c>
      <x:c r="E10" s="107" t="str">
        <x:v>Wealth &amp; Advisory</x:v>
      </x:c>
      <x:c r="F10" s="148" t="n">
        <x:v>81</x:v>
      </x:c>
      <x:c r="G10" s="149" t="n">
        <x:f>F10*Assumptions!$B$6</x:f>
        <x:v>81</x:v>
      </x:c>
      <x:c r="H10" s="149" t="n">
        <x:f>F10*Assumptions!$B$7</x:f>
        <x:v>109.35000000000001</x:v>
      </x:c>
      <x:c r="I10" s="149" t="n">
        <x:f>F10*Assumptions!$B$8</x:f>
        <x:v>145.8</x:v>
      </x:c>
      <x:c r="J10" s="149" t="n">
        <x:f>(H10-G10)*Assumptions!$B$9</x:f>
        <x:v>141.75000000000006</x:v>
      </x:c>
      <x:c r="K10" s="149" t="n">
        <x:f>(I10-H10)*Assumptions!$B$10</x:f>
        <x:v>291.6</x:v>
      </x:c>
      <x:c r="L10" s="107" t="str">
        <x:v>Affluent / HNW</x:v>
      </x:c>
      <x:c r="M10" s="107" t="str">
        <x:v>v0.2 calibrated internal balancing assumption</x:v>
      </x:c>
      <x:c r="N10" s="105"/>
      <x:c r="O10" s="105"/>
      <x:c r="P10" s="105"/>
      <x:c r="Q10" s="105"/>
      <x:c r="R10" s="105"/>
      <x:c r="S10" s="105"/>
      <x:c r="T10" s="105"/>
      <x:c r="U10" s="105"/>
    </x:row>
    <x:row r="11">
      <x:c r="A11" s="107" t="str">
        <x:v>BLD010</x:v>
      </x:c>
      <x:c r="B11" s="107" t="str">
        <x:v>Secure Cash Locker</x:v>
      </x:c>
      <x:c r="C11" s="107" t="str">
        <x:v>Humble</x:v>
      </x:c>
      <x:c r="D11" s="107" t="n">
        <x:v>4</x:v>
      </x:c>
      <x:c r="E11" s="107" t="str">
        <x:v>Treasury, Vault &amp; Custody</x:v>
      </x:c>
      <x:c r="F11" s="148" t="n">
        <x:v>88</x:v>
      </x:c>
      <x:c r="G11" s="149" t="n">
        <x:f>F11*Assumptions!$B$6</x:f>
        <x:v>88</x:v>
      </x:c>
      <x:c r="H11" s="149" t="n">
        <x:f>F11*Assumptions!$B$7</x:f>
        <x:v>118.80000000000001</x:v>
      </x:c>
      <x:c r="I11" s="149" t="n">
        <x:f>F11*Assumptions!$B$8</x:f>
        <x:v>158.4</x:v>
      </x:c>
      <x:c r="J11" s="149" t="n">
        <x:f>(H11-G11)*Assumptions!$B$9</x:f>
        <x:v>154.00000000000006</x:v>
      </x:c>
      <x:c r="K11" s="149" t="n">
        <x:f>(I11-H11)*Assumptions!$B$10</x:f>
        <x:v>316.79999999999995</x:v>
      </x:c>
      <x:c r="L11" s="107" t="str">
        <x:v>HNW / Institutional</x:v>
      </x:c>
      <x:c r="M11" s="107" t="str">
        <x:v>v0.2 calibrated internal balancing assumption</x:v>
      </x:c>
      <x:c r="N11" s="105"/>
      <x:c r="O11" s="105"/>
      <x:c r="P11" s="105"/>
      <x:c r="Q11" s="105"/>
      <x:c r="R11" s="105"/>
      <x:c r="S11" s="105"/>
      <x:c r="T11" s="105"/>
      <x:c r="U11" s="105"/>
    </x:row>
    <x:row r="12">
      <x:c r="A12" s="107" t="str">
        <x:v>BLD011</x:v>
      </x:c>
      <x:c r="B12" s="107" t="str">
        <x:v>Neighborhood Finance Shop</x:v>
      </x:c>
      <x:c r="C12" s="107" t="str">
        <x:v>Starter</x:v>
      </x:c>
      <x:c r="D12" s="107" t="n">
        <x:v>5</x:v>
      </x:c>
      <x:c r="E12" s="107" t="str">
        <x:v>Retail Finance</x:v>
      </x:c>
      <x:c r="F12" s="148" t="n">
        <x:v>110</x:v>
      </x:c>
      <x:c r="G12" s="149" t="n">
        <x:f>F12*Assumptions!$B$6</x:f>
        <x:v>110</x:v>
      </x:c>
      <x:c r="H12" s="149" t="n">
        <x:f>F12*Assumptions!$B$7</x:f>
        <x:v>148.5</x:v>
      </x:c>
      <x:c r="I12" s="149" t="n">
        <x:f>F12*Assumptions!$B$8</x:f>
        <x:v>198</x:v>
      </x:c>
      <x:c r="J12" s="149" t="n">
        <x:f>(H12-G12)*Assumptions!$B$9</x:f>
        <x:v>192.5</x:v>
      </x:c>
      <x:c r="K12" s="149" t="n">
        <x:f>(I12-H12)*Assumptions!$B$10</x:f>
        <x:v>396</x:v>
      </x:c>
      <x:c r="L12" s="107" t="str">
        <x:v>Mass Retail</x:v>
      </x:c>
      <x:c r="M12" s="107" t="str">
        <x:v>v0.2 calibrated internal balancing assumption</x:v>
      </x:c>
      <x:c r="N12" s="105"/>
      <x:c r="O12" s="105"/>
      <x:c r="P12" s="105"/>
      <x:c r="Q12" s="105"/>
      <x:c r="R12" s="105"/>
      <x:c r="S12" s="105"/>
      <x:c r="T12" s="105"/>
      <x:c r="U12" s="105"/>
    </x:row>
    <x:row r="13">
      <x:c r="A13" s="107" t="str">
        <x:v>BLD012</x:v>
      </x:c>
      <x:c r="B13" s="107" t="str">
        <x:v>Small Brokerage Office</x:v>
      </x:c>
      <x:c r="C13" s="107" t="str">
        <x:v>Starter</x:v>
      </x:c>
      <x:c r="D13" s="107" t="n">
        <x:v>5</x:v>
      </x:c>
      <x:c r="E13" s="107" t="str">
        <x:v>Brokerage</x:v>
      </x:c>
      <x:c r="F13" s="148" t="n">
        <x:v>130</x:v>
      </x:c>
      <x:c r="G13" s="149" t="n">
        <x:f>F13*Assumptions!$B$6</x:f>
        <x:v>130</x:v>
      </x:c>
      <x:c r="H13" s="149" t="n">
        <x:f>F13*Assumptions!$B$7</x:f>
        <x:v>175.5</x:v>
      </x:c>
      <x:c r="I13" s="149" t="n">
        <x:f>F13*Assumptions!$B$8</x:f>
        <x:v>234</x:v>
      </x:c>
      <x:c r="J13" s="149" t="n">
        <x:f>(H13-G13)*Assumptions!$B$9</x:f>
        <x:v>227.5</x:v>
      </x:c>
      <x:c r="K13" s="149" t="n">
        <x:f>(I13-H13)*Assumptions!$B$10</x:f>
        <x:v>468</x:v>
      </x:c>
      <x:c r="L13" s="107" t="str">
        <x:v>Retail Investor / Affluent</x:v>
      </x:c>
      <x:c r="M13" s="107" t="str">
        <x:v>v0.2 calibrated internal balancing assumption</x:v>
      </x:c>
      <x:c r="N13" s="105"/>
      <x:c r="O13" s="105"/>
      <x:c r="P13" s="105"/>
      <x:c r="Q13" s="105"/>
      <x:c r="R13" s="105"/>
      <x:c r="S13" s="105"/>
      <x:c r="T13" s="105"/>
      <x:c r="U13" s="105"/>
    </x:row>
    <x:row r="14">
      <x:c r="A14" s="107" t="str">
        <x:v>BLD013</x:v>
      </x:c>
      <x:c r="B14" s="107" t="str">
        <x:v>Local Savings Office</x:v>
      </x:c>
      <x:c r="C14" s="107" t="str">
        <x:v>Starter</x:v>
      </x:c>
      <x:c r="D14" s="107" t="n">
        <x:v>6</x:v>
      </x:c>
      <x:c r="E14" s="107" t="str">
        <x:v>Banking &amp; Savings</x:v>
      </x:c>
      <x:c r="F14" s="148" t="n">
        <x:v>150</x:v>
      </x:c>
      <x:c r="G14" s="149" t="n">
        <x:f>F14*Assumptions!$B$6</x:f>
        <x:v>150</x:v>
      </x:c>
      <x:c r="H14" s="149" t="n">
        <x:f>F14*Assumptions!$B$7</x:f>
        <x:v>202.5</x:v>
      </x:c>
      <x:c r="I14" s="149" t="n">
        <x:f>F14*Assumptions!$B$8</x:f>
        <x:v>270</x:v>
      </x:c>
      <x:c r="J14" s="149" t="n">
        <x:f>(H14-G14)*Assumptions!$B$9</x:f>
        <x:v>262.5</x:v>
      </x:c>
      <x:c r="K14" s="149" t="n">
        <x:f>(I14-H14)*Assumptions!$B$10</x:f>
        <x:v>540</x:v>
      </x:c>
      <x:c r="L14" s="107" t="str">
        <x:v>Mass Retail / Affluent</x:v>
      </x:c>
      <x:c r="M14" s="107" t="str">
        <x:v>v0.2 calibrated internal balancing assumption</x:v>
      </x:c>
      <x:c r="N14" s="105"/>
      <x:c r="O14" s="105"/>
      <x:c r="P14" s="105"/>
      <x:c r="Q14" s="105"/>
      <x:c r="R14" s="105"/>
      <x:c r="S14" s="105"/>
      <x:c r="T14" s="105"/>
      <x:c r="U14" s="105"/>
    </x:row>
    <x:row r="15">
      <x:c r="A15" s="107" t="str">
        <x:v>BLD014</x:v>
      </x:c>
      <x:c r="B15" s="107" t="str">
        <x:v>Microfinance Office</x:v>
      </x:c>
      <x:c r="C15" s="107" t="str">
        <x:v>Starter</x:v>
      </x:c>
      <x:c r="D15" s="107" t="n">
        <x:v>6</x:v>
      </x:c>
      <x:c r="E15" s="107" t="str">
        <x:v>Lending &amp; Credit</x:v>
      </x:c>
      <x:c r="F15" s="148" t="n">
        <x:v>170</x:v>
      </x:c>
      <x:c r="G15" s="149" t="n">
        <x:f>F15*Assumptions!$B$6</x:f>
        <x:v>170</x:v>
      </x:c>
      <x:c r="H15" s="149" t="n">
        <x:f>F15*Assumptions!$B$7</x:f>
        <x:v>229.50000000000003</x:v>
      </x:c>
      <x:c r="I15" s="149" t="n">
        <x:f>F15*Assumptions!$B$8</x:f>
        <x:v>306</x:v>
      </x:c>
      <x:c r="J15" s="149" t="n">
        <x:f>(H15-G15)*Assumptions!$B$9</x:f>
        <x:v>297.5000000000001</x:v>
      </x:c>
      <x:c r="K15" s="149" t="n">
        <x:f>(I15-H15)*Assumptions!$B$10</x:f>
        <x:v>611.9999999999998</x:v>
      </x:c>
      <x:c r="L15" s="107" t="str">
        <x:v>Mass Retail / SMB</x:v>
      </x:c>
      <x:c r="M15" s="107" t="str">
        <x:v>v0.2 calibrated internal balancing assumption</x:v>
      </x:c>
      <x:c r="N15" s="105"/>
      <x:c r="O15" s="105"/>
      <x:c r="P15" s="105"/>
      <x:c r="Q15" s="105"/>
      <x:c r="R15" s="105"/>
      <x:c r="S15" s="105"/>
      <x:c r="T15" s="105"/>
      <x:c r="U15" s="105"/>
    </x:row>
    <x:row r="16">
      <x:c r="A16" s="107" t="str">
        <x:v>BLD015</x:v>
      </x:c>
      <x:c r="B16" s="107" t="str">
        <x:v>Trading Room</x:v>
      </x:c>
      <x:c r="C16" s="107" t="str">
        <x:v>Starter</x:v>
      </x:c>
      <x:c r="D16" s="107" t="n">
        <x:v>6</x:v>
      </x:c>
      <x:c r="E16" s="107" t="str">
        <x:v>Trading &amp; Markets</x:v>
      </x:c>
      <x:c r="F16" s="148" t="n">
        <x:v>190</x:v>
      </x:c>
      <x:c r="G16" s="149" t="n">
        <x:f>F16*Assumptions!$B$6</x:f>
        <x:v>190</x:v>
      </x:c>
      <x:c r="H16" s="149" t="n">
        <x:f>F16*Assumptions!$B$7</x:f>
        <x:v>256.5</x:v>
      </x:c>
      <x:c r="I16" s="149" t="n">
        <x:f>F16*Assumptions!$B$8</x:f>
        <x:v>342</x:v>
      </x:c>
      <x:c r="J16" s="149" t="n">
        <x:f>(H16-G16)*Assumptions!$B$9</x:f>
        <x:v>332.5</x:v>
      </x:c>
      <x:c r="K16" s="149" t="n">
        <x:f>(I16-H16)*Assumptions!$B$10</x:f>
        <x:v>684</x:v>
      </x:c>
      <x:c r="L16" s="107" t="str">
        <x:v>Active Trader / Institutional</x:v>
      </x:c>
      <x:c r="M16" s="107" t="str">
        <x:v>v0.2 calibrated internal balancing assumption</x:v>
      </x:c>
      <x:c r="N16" s="105"/>
      <x:c r="O16" s="105"/>
      <x:c r="P16" s="105"/>
      <x:c r="Q16" s="105"/>
      <x:c r="R16" s="105"/>
      <x:c r="S16" s="105"/>
      <x:c r="T16" s="105"/>
      <x:c r="U16" s="105"/>
    </x:row>
    <x:row r="17">
      <x:c r="A17" s="107" t="str">
        <x:v>BLD016</x:v>
      </x:c>
      <x:c r="B17" s="107" t="str">
        <x:v>Small Research Office</x:v>
      </x:c>
      <x:c r="C17" s="107" t="str">
        <x:v>Starter</x:v>
      </x:c>
      <x:c r="D17" s="107" t="n">
        <x:v>7</x:v>
      </x:c>
      <x:c r="E17" s="107" t="str">
        <x:v>Research, Data &amp; Fintech</x:v>
      </x:c>
      <x:c r="F17" s="148" t="n">
        <x:v>210</x:v>
      </x:c>
      <x:c r="G17" s="149" t="n">
        <x:f>F17*Assumptions!$B$6</x:f>
        <x:v>210</x:v>
      </x:c>
      <x:c r="H17" s="149" t="n">
        <x:f>F17*Assumptions!$B$7</x:f>
        <x:v>283.5</x:v>
      </x:c>
      <x:c r="I17" s="149" t="n">
        <x:f>F17*Assumptions!$B$8</x:f>
        <x:v>378</x:v>
      </x:c>
      <x:c r="J17" s="149" t="n">
        <x:f>(H17-G17)*Assumptions!$B$9</x:f>
        <x:v>367.5</x:v>
      </x:c>
      <x:c r="K17" s="149" t="n">
        <x:f>(I17-H17)*Assumptions!$B$10</x:f>
        <x:v>756</x:v>
      </x:c>
      <x:c r="L17" s="107" t="str">
        <x:v>Professional / Institutional</x:v>
      </x:c>
      <x:c r="M17" s="107" t="str">
        <x:v>v0.2 calibrated internal balancing assumption</x:v>
      </x:c>
      <x:c r="N17" s="105"/>
      <x:c r="O17" s="105"/>
      <x:c r="P17" s="105"/>
      <x:c r="Q17" s="105"/>
      <x:c r="R17" s="105"/>
      <x:c r="S17" s="105"/>
      <x:c r="T17" s="105"/>
      <x:c r="U17" s="105"/>
    </x:row>
    <x:row r="18">
      <x:c r="A18" s="107" t="str">
        <x:v>BLD017</x:v>
      </x:c>
      <x:c r="B18" s="107" t="str">
        <x:v>Local Insurance Office</x:v>
      </x:c>
      <x:c r="C18" s="107" t="str">
        <x:v>Starter</x:v>
      </x:c>
      <x:c r="D18" s="107" t="n">
        <x:v>7</x:v>
      </x:c>
      <x:c r="E18" s="107" t="str">
        <x:v>Insurance &amp; Risk</x:v>
      </x:c>
      <x:c r="F18" s="148" t="n">
        <x:v>230</x:v>
      </x:c>
      <x:c r="G18" s="149" t="n">
        <x:f>F18*Assumptions!$B$6</x:f>
        <x:v>230</x:v>
      </x:c>
      <x:c r="H18" s="149" t="n">
        <x:f>F18*Assumptions!$B$7</x:f>
        <x:v>310.5</x:v>
      </x:c>
      <x:c r="I18" s="149" t="n">
        <x:f>F18*Assumptions!$B$8</x:f>
        <x:v>414</x:v>
      </x:c>
      <x:c r="J18" s="149" t="n">
        <x:f>(H18-G18)*Assumptions!$B$9</x:f>
        <x:v>402.5</x:v>
      </x:c>
      <x:c r="K18" s="149" t="n">
        <x:f>(I18-H18)*Assumptions!$B$10</x:f>
        <x:v>828</x:v>
      </x:c>
      <x:c r="L18" s="107" t="str">
        <x:v>Retail / SMB / Affluent</x:v>
      </x:c>
      <x:c r="M18" s="107" t="str">
        <x:v>v0.2 calibrated internal balancing assumption</x:v>
      </x:c>
      <x:c r="N18" s="105"/>
      <x:c r="O18" s="105"/>
      <x:c r="P18" s="105"/>
      <x:c r="Q18" s="105"/>
      <x:c r="R18" s="105"/>
      <x:c r="S18" s="105"/>
      <x:c r="T18" s="105"/>
      <x:c r="U18" s="105"/>
    </x:row>
    <x:row r="19">
      <x:c r="A19" s="107" t="str">
        <x:v>BLD018</x:v>
      </x:c>
      <x:c r="B19" s="107" t="str">
        <x:v>Treasury Office</x:v>
      </x:c>
      <x:c r="C19" s="107" t="str">
        <x:v>Starter</x:v>
      </x:c>
      <x:c r="D19" s="107" t="n">
        <x:v>7</x:v>
      </x:c>
      <x:c r="E19" s="107" t="str">
        <x:v>Treasury, Vault &amp; Custody</x:v>
      </x:c>
      <x:c r="F19" s="148" t="n">
        <x:v>250</x:v>
      </x:c>
      <x:c r="G19" s="149" t="n">
        <x:f>F19*Assumptions!$B$6</x:f>
        <x:v>250</x:v>
      </x:c>
      <x:c r="H19" s="149" t="n">
        <x:f>F19*Assumptions!$B$7</x:f>
        <x:v>337.5</x:v>
      </x:c>
      <x:c r="I19" s="149" t="n">
        <x:f>F19*Assumptions!$B$8</x:f>
        <x:v>450</x:v>
      </x:c>
      <x:c r="J19" s="149" t="n">
        <x:f>(H19-G19)*Assumptions!$B$9</x:f>
        <x:v>437.5</x:v>
      </x:c>
      <x:c r="K19" s="149" t="n">
        <x:f>(I19-H19)*Assumptions!$B$10</x:f>
        <x:v>900</x:v>
      </x:c>
      <x:c r="L19" s="107" t="str">
        <x:v>HNW / Institutional</x:v>
      </x:c>
      <x:c r="M19" s="107" t="str">
        <x:v>v0.2 calibrated internal balancing assumption</x:v>
      </x:c>
      <x:c r="N19" s="105"/>
      <x:c r="O19" s="105"/>
      <x:c r="P19" s="105"/>
      <x:c r="Q19" s="105"/>
      <x:c r="R19" s="105"/>
      <x:c r="S19" s="105"/>
      <x:c r="T19" s="105"/>
      <x:c r="U19" s="105"/>
    </x:row>
    <x:row r="20">
      <x:c r="A20" s="107" t="str">
        <x:v>BLD019</x:v>
      </x:c>
      <x:c r="B20" s="107" t="str">
        <x:v>Small Fund Office</x:v>
      </x:c>
      <x:c r="C20" s="107" t="str">
        <x:v>Starter</x:v>
      </x:c>
      <x:c r="D20" s="107" t="n">
        <x:v>8</x:v>
      </x:c>
      <x:c r="E20" s="107" t="str">
        <x:v>Funds &amp; Asset Management</x:v>
      </x:c>
      <x:c r="F20" s="148" t="n">
        <x:v>270</x:v>
      </x:c>
      <x:c r="G20" s="149" t="n">
        <x:f>F20*Assumptions!$B$6</x:f>
        <x:v>270</x:v>
      </x:c>
      <x:c r="H20" s="149" t="n">
        <x:f>F20*Assumptions!$B$7</x:f>
        <x:v>364.5</x:v>
      </x:c>
      <x:c r="I20" s="149" t="n">
        <x:f>F20*Assumptions!$B$8</x:f>
        <x:v>486</x:v>
      </x:c>
      <x:c r="J20" s="149" t="n">
        <x:f>(H20-G20)*Assumptions!$B$9</x:f>
        <x:v>472.5</x:v>
      </x:c>
      <x:c r="K20" s="149" t="n">
        <x:f>(I20-H20)*Assumptions!$B$10</x:f>
        <x:v>972</x:v>
      </x:c>
      <x:c r="L20" s="107" t="str">
        <x:v>Affluent / HNW / Institutional</x:v>
      </x:c>
      <x:c r="M20" s="107" t="str">
        <x:v>v0.2 calibrated internal balancing assumption</x:v>
      </x:c>
      <x:c r="N20" s="105"/>
      <x:c r="O20" s="105"/>
      <x:c r="P20" s="105"/>
      <x:c r="Q20" s="105"/>
      <x:c r="R20" s="105"/>
      <x:c r="S20" s="105"/>
      <x:c r="T20" s="105"/>
      <x:c r="U20" s="105"/>
    </x:row>
    <x:row r="21">
      <x:c r="A21" s="107" t="str">
        <x:v>BLD020</x:v>
      </x:c>
      <x:c r="B21" s="107" t="str">
        <x:v>Financial Services Hub</x:v>
      </x:c>
      <x:c r="C21" s="107" t="str">
        <x:v>Starter</x:v>
      </x:c>
      <x:c r="D21" s="107" t="n">
        <x:v>8</x:v>
      </x:c>
      <x:c r="E21" s="107" t="str">
        <x:v>Retail Finance</x:v>
      </x:c>
      <x:c r="F21" s="148" t="n">
        <x:v>290</x:v>
      </x:c>
      <x:c r="G21" s="149" t="n">
        <x:f>F21*Assumptions!$B$6</x:f>
        <x:v>290</x:v>
      </x:c>
      <x:c r="H21" s="149" t="n">
        <x:f>F21*Assumptions!$B$7</x:f>
        <x:v>391.5</x:v>
      </x:c>
      <x:c r="I21" s="149" t="n">
        <x:f>F21*Assumptions!$B$8</x:f>
        <x:v>522</x:v>
      </x:c>
      <x:c r="J21" s="149" t="n">
        <x:f>(H21-G21)*Assumptions!$B$9</x:f>
        <x:v>507.5</x:v>
      </x:c>
      <x:c r="K21" s="149" t="n">
        <x:f>(I21-H21)*Assumptions!$B$10</x:f>
        <x:v>1044</x:v>
      </x:c>
      <x:c r="L21" s="107" t="str">
        <x:v>Mass Retail</x:v>
      </x:c>
      <x:c r="M21" s="107" t="str">
        <x:v>v0.2 calibrated internal balancing assumption</x:v>
      </x:c>
      <x:c r="N21" s="105"/>
      <x:c r="O21" s="105"/>
      <x:c r="P21" s="105"/>
      <x:c r="Q21" s="105"/>
      <x:c r="R21" s="105"/>
      <x:c r="S21" s="105"/>
      <x:c r="T21" s="105"/>
      <x:c r="U21" s="105"/>
    </x:row>
    <x:row r="22">
      <x:c r="A22" s="107" t="str">
        <x:v>BLD021</x:v>
      </x:c>
      <x:c r="B22" s="107" t="str">
        <x:v>Community Bank Branch</x:v>
      </x:c>
      <x:c r="C22" s="107" t="str">
        <x:v>Growing</x:v>
      </x:c>
      <x:c r="D22" s="107" t="n">
        <x:v>9</x:v>
      </x:c>
      <x:c r="E22" s="107" t="str">
        <x:v>Banking &amp; Savings</x:v>
      </x:c>
      <x:c r="F22" s="148" t="n">
        <x:v>340</x:v>
      </x:c>
      <x:c r="G22" s="149" t="n">
        <x:f>F22*Assumptions!$B$6</x:f>
        <x:v>340</x:v>
      </x:c>
      <x:c r="H22" s="149" t="n">
        <x:f>F22*Assumptions!$B$7</x:f>
        <x:v>459.00000000000006</x:v>
      </x:c>
      <x:c r="I22" s="149" t="n">
        <x:f>F22*Assumptions!$B$8</x:f>
        <x:v>612</x:v>
      </x:c>
      <x:c r="J22" s="149" t="n">
        <x:f>(H22-G22)*Assumptions!$B$9</x:f>
        <x:v>595.0000000000002</x:v>
      </x:c>
      <x:c r="K22" s="149" t="n">
        <x:f>(I22-H22)*Assumptions!$B$10</x:f>
        <x:v>1223.9999999999995</x:v>
      </x:c>
      <x:c r="L22" s="107" t="str">
        <x:v>Mass Retail / Affluent</x:v>
      </x:c>
      <x:c r="M22" s="107" t="str">
        <x:v>v0.2 calibrated internal balancing assumption</x:v>
      </x:c>
      <x:c r="N22" s="105"/>
      <x:c r="O22" s="105"/>
      <x:c r="P22" s="105"/>
      <x:c r="Q22" s="105"/>
      <x:c r="R22" s="105"/>
      <x:c r="S22" s="105"/>
      <x:c r="T22" s="105"/>
      <x:c r="U22" s="105"/>
    </x:row>
    <x:row r="23">
      <x:c r="A23" s="107" t="str">
        <x:v>BLD022</x:v>
      </x:c>
      <x:c r="B23" s="107" t="str">
        <x:v>Brokerage House</x:v>
      </x:c>
      <x:c r="C23" s="107" t="str">
        <x:v>Growing</x:v>
      </x:c>
      <x:c r="D23" s="107" t="n">
        <x:v>9</x:v>
      </x:c>
      <x:c r="E23" s="107" t="str">
        <x:v>Brokerage</x:v>
      </x:c>
      <x:c r="F23" s="148" t="n">
        <x:v>400</x:v>
      </x:c>
      <x:c r="G23" s="149" t="n">
        <x:f>F23*Assumptions!$B$6</x:f>
        <x:v>400</x:v>
      </x:c>
      <x:c r="H23" s="149" t="n">
        <x:f>F23*Assumptions!$B$7</x:f>
        <x:v>540</x:v>
      </x:c>
      <x:c r="I23" s="149" t="n">
        <x:f>F23*Assumptions!$B$8</x:f>
        <x:v>720</x:v>
      </x:c>
      <x:c r="J23" s="149" t="n">
        <x:f>(H23-G23)*Assumptions!$B$9</x:f>
        <x:v>700</x:v>
      </x:c>
      <x:c r="K23" s="149" t="n">
        <x:f>(I23-H23)*Assumptions!$B$10</x:f>
        <x:v>1440</x:v>
      </x:c>
      <x:c r="L23" s="107" t="str">
        <x:v>Retail Investor / Affluent</x:v>
      </x:c>
      <x:c r="M23" s="107" t="str">
        <x:v>v0.2 calibrated internal balancing assumption</x:v>
      </x:c>
      <x:c r="N23" s="105"/>
      <x:c r="O23" s="105"/>
      <x:c r="P23" s="105"/>
      <x:c r="Q23" s="105"/>
      <x:c r="R23" s="105"/>
      <x:c r="S23" s="105"/>
      <x:c r="T23" s="105"/>
      <x:c r="U23" s="105"/>
    </x:row>
    <x:row r="24">
      <x:c r="A24" s="107" t="str">
        <x:v>BLD023</x:v>
      </x:c>
      <x:c r="B24" s="107" t="str">
        <x:v>Investment Advisory Firm</x:v>
      </x:c>
      <x:c r="C24" s="107" t="str">
        <x:v>Growing</x:v>
      </x:c>
      <x:c r="D24" s="107" t="n">
        <x:v>10</x:v>
      </x:c>
      <x:c r="E24" s="107" t="str">
        <x:v>Wealth &amp; Advisory</x:v>
      </x:c>
      <x:c r="F24" s="148" t="n">
        <x:v>460</x:v>
      </x:c>
      <x:c r="G24" s="149" t="n">
        <x:f>F24*Assumptions!$B$6</x:f>
        <x:v>460</x:v>
      </x:c>
      <x:c r="H24" s="149" t="n">
        <x:f>F24*Assumptions!$B$7</x:f>
        <x:v>621</x:v>
      </x:c>
      <x:c r="I24" s="149" t="n">
        <x:f>F24*Assumptions!$B$8</x:f>
        <x:v>828</x:v>
      </x:c>
      <x:c r="J24" s="149" t="n">
        <x:f>(H24-G24)*Assumptions!$B$9</x:f>
        <x:v>805</x:v>
      </x:c>
      <x:c r="K24" s="149" t="n">
        <x:f>(I24-H24)*Assumptions!$B$10</x:f>
        <x:v>1656</x:v>
      </x:c>
      <x:c r="L24" s="107" t="str">
        <x:v>Affluent / HNW</x:v>
      </x:c>
      <x:c r="M24" s="107" t="str">
        <x:v>v0.2 calibrated internal balancing assumption</x:v>
      </x:c>
      <x:c r="N24" s="105"/>
      <x:c r="O24" s="105"/>
      <x:c r="P24" s="105"/>
      <x:c r="Q24" s="105"/>
      <x:c r="R24" s="105"/>
      <x:c r="S24" s="105"/>
      <x:c r="T24" s="105"/>
      <x:c r="U24" s="105"/>
    </x:row>
    <x:row r="25">
      <x:c r="A25" s="107" t="str">
        <x:v>BLD024</x:v>
      </x:c>
      <x:c r="B25" s="107" t="str">
        <x:v>Asset Management Office</x:v>
      </x:c>
      <x:c r="C25" s="107" t="str">
        <x:v>Growing</x:v>
      </x:c>
      <x:c r="D25" s="107" t="n">
        <x:v>10</x:v>
      </x:c>
      <x:c r="E25" s="107" t="str">
        <x:v>Funds &amp; Asset Management</x:v>
      </x:c>
      <x:c r="F25" s="148" t="n">
        <x:v>520</x:v>
      </x:c>
      <x:c r="G25" s="149" t="n">
        <x:f>F25*Assumptions!$B$6</x:f>
        <x:v>520</x:v>
      </x:c>
      <x:c r="H25" s="149" t="n">
        <x:f>F25*Assumptions!$B$7</x:f>
        <x:v>702</x:v>
      </x:c>
      <x:c r="I25" s="149" t="n">
        <x:f>F25*Assumptions!$B$8</x:f>
        <x:v>936</x:v>
      </x:c>
      <x:c r="J25" s="149" t="n">
        <x:f>(H25-G25)*Assumptions!$B$9</x:f>
        <x:v>910</x:v>
      </x:c>
      <x:c r="K25" s="149" t="n">
        <x:f>(I25-H25)*Assumptions!$B$10</x:f>
        <x:v>1872</x:v>
      </x:c>
      <x:c r="L25" s="107" t="str">
        <x:v>Affluent / HNW / Institutional</x:v>
      </x:c>
      <x:c r="M25" s="107" t="str">
        <x:v>v0.2 calibrated internal balancing assumption</x:v>
      </x:c>
      <x:c r="N25" s="105"/>
      <x:c r="O25" s="105"/>
      <x:c r="P25" s="105"/>
      <x:c r="Q25" s="105"/>
      <x:c r="R25" s="105"/>
      <x:c r="S25" s="105"/>
      <x:c r="T25" s="105"/>
      <x:c r="U25" s="105"/>
    </x:row>
    <x:row r="26">
      <x:c r="A26" s="107" t="str">
        <x:v>BLD025</x:v>
      </x:c>
      <x:c r="B26" s="107" t="str">
        <x:v>Market Research Center</x:v>
      </x:c>
      <x:c r="C26" s="107" t="str">
        <x:v>Growing</x:v>
      </x:c>
      <x:c r="D26" s="107" t="n">
        <x:v>10</x:v>
      </x:c>
      <x:c r="E26" s="107" t="str">
        <x:v>Research, Data &amp; Fintech</x:v>
      </x:c>
      <x:c r="F26" s="148" t="n">
        <x:v>580</x:v>
      </x:c>
      <x:c r="G26" s="149" t="n">
        <x:f>F26*Assumptions!$B$6</x:f>
        <x:v>580</x:v>
      </x:c>
      <x:c r="H26" s="149" t="n">
        <x:f>F26*Assumptions!$B$7</x:f>
        <x:v>783</x:v>
      </x:c>
      <x:c r="I26" s="149" t="n">
        <x:f>F26*Assumptions!$B$8</x:f>
        <x:v>1044</x:v>
      </x:c>
      <x:c r="J26" s="149" t="n">
        <x:f>(H26-G26)*Assumptions!$B$9</x:f>
        <x:v>1015</x:v>
      </x:c>
      <x:c r="K26" s="149" t="n">
        <x:f>(I26-H26)*Assumptions!$B$10</x:f>
        <x:v>2088</x:v>
      </x:c>
      <x:c r="L26" s="107" t="str">
        <x:v>Professional / Institutional</x:v>
      </x:c>
      <x:c r="M26" s="107" t="str">
        <x:v>v0.2 calibrated internal balancing assumption</x:v>
      </x:c>
      <x:c r="N26" s="105"/>
      <x:c r="O26" s="105"/>
      <x:c r="P26" s="105"/>
      <x:c r="Q26" s="105"/>
      <x:c r="R26" s="105"/>
      <x:c r="S26" s="105"/>
      <x:c r="T26" s="105"/>
      <x:c r="U26" s="105"/>
    </x:row>
    <x:row r="27">
      <x:c r="A27" s="107" t="str">
        <x:v>BLD026</x:v>
      </x:c>
      <x:c r="B27" s="107" t="str">
        <x:v>Lending Center</x:v>
      </x:c>
      <x:c r="C27" s="107" t="str">
        <x:v>Growing</x:v>
      </x:c>
      <x:c r="D27" s="107" t="n">
        <x:v>11</x:v>
      </x:c>
      <x:c r="E27" s="107" t="str">
        <x:v>Lending &amp; Credit</x:v>
      </x:c>
      <x:c r="F27" s="148" t="n">
        <x:v>640</x:v>
      </x:c>
      <x:c r="G27" s="149" t="n">
        <x:f>F27*Assumptions!$B$6</x:f>
        <x:v>640</x:v>
      </x:c>
      <x:c r="H27" s="149" t="n">
        <x:f>F27*Assumptions!$B$7</x:f>
        <x:v>864</x:v>
      </x:c>
      <x:c r="I27" s="149" t="n">
        <x:f>F27*Assumptions!$B$8</x:f>
        <x:v>1152</x:v>
      </x:c>
      <x:c r="J27" s="149" t="n">
        <x:f>(H27-G27)*Assumptions!$B$9</x:f>
        <x:v>1120</x:v>
      </x:c>
      <x:c r="K27" s="149" t="n">
        <x:f>(I27-H27)*Assumptions!$B$10</x:f>
        <x:v>2304</x:v>
      </x:c>
      <x:c r="L27" s="107" t="str">
        <x:v>Mass Retail / SMB</x:v>
      </x:c>
      <x:c r="M27" s="107" t="str">
        <x:v>v0.2 calibrated internal balancing assumption</x:v>
      </x:c>
      <x:c r="N27" s="105"/>
      <x:c r="O27" s="105"/>
      <x:c r="P27" s="105"/>
      <x:c r="Q27" s="105"/>
      <x:c r="R27" s="105"/>
      <x:c r="S27" s="105"/>
      <x:c r="T27" s="105"/>
      <x:c r="U27" s="105"/>
    </x:row>
    <x:row r="28">
      <x:c r="A28" s="107" t="str">
        <x:v>BLD027</x:v>
      </x:c>
      <x:c r="B28" s="107" t="str">
        <x:v>Wealth Management Office</x:v>
      </x:c>
      <x:c r="C28" s="107" t="str">
        <x:v>Growing</x:v>
      </x:c>
      <x:c r="D28" s="107" t="n">
        <x:v>11</x:v>
      </x:c>
      <x:c r="E28" s="107" t="str">
        <x:v>Wealth &amp; Advisory</x:v>
      </x:c>
      <x:c r="F28" s="148" t="n">
        <x:v>700</x:v>
      </x:c>
      <x:c r="G28" s="149" t="n">
        <x:f>F28*Assumptions!$B$6</x:f>
        <x:v>700</x:v>
      </x:c>
      <x:c r="H28" s="149" t="n">
        <x:f>F28*Assumptions!$B$7</x:f>
        <x:v>945.0000000000001</x:v>
      </x:c>
      <x:c r="I28" s="149" t="n">
        <x:f>F28*Assumptions!$B$8</x:f>
        <x:v>1260</x:v>
      </x:c>
      <x:c r="J28" s="149" t="n">
        <x:f>(H28-G28)*Assumptions!$B$9</x:f>
        <x:v>1225.0000000000005</x:v>
      </x:c>
      <x:c r="K28" s="149" t="n">
        <x:f>(I28-H28)*Assumptions!$B$10</x:f>
        <x:v>2519.999999999999</x:v>
      </x:c>
      <x:c r="L28" s="107" t="str">
        <x:v>Affluent / HNW</x:v>
      </x:c>
      <x:c r="M28" s="107" t="str">
        <x:v>v0.2 calibrated internal balancing assumption</x:v>
      </x:c>
      <x:c r="N28" s="105"/>
      <x:c r="O28" s="105"/>
      <x:c r="P28" s="105"/>
      <x:c r="Q28" s="105"/>
      <x:c r="R28" s="105"/>
      <x:c r="S28" s="105"/>
      <x:c r="T28" s="105"/>
      <x:c r="U28" s="105"/>
    </x:row>
    <x:row r="29">
      <x:c r="A29" s="107" t="str">
        <x:v>BLD028</x:v>
      </x:c>
      <x:c r="B29" s="107" t="str">
        <x:v>Digital Finance Hub</x:v>
      </x:c>
      <x:c r="C29" s="107" t="str">
        <x:v>Growing</x:v>
      </x:c>
      <x:c r="D29" s="107" t="n">
        <x:v>11</x:v>
      </x:c>
      <x:c r="E29" s="107" t="str">
        <x:v>Research, Data &amp; Fintech</x:v>
      </x:c>
      <x:c r="F29" s="148" t="n">
        <x:v>760</x:v>
      </x:c>
      <x:c r="G29" s="149" t="n">
        <x:f>F29*Assumptions!$B$6</x:f>
        <x:v>760</x:v>
      </x:c>
      <x:c r="H29" s="149" t="n">
        <x:f>F29*Assumptions!$B$7</x:f>
        <x:v>1026</x:v>
      </x:c>
      <x:c r="I29" s="149" t="n">
        <x:f>F29*Assumptions!$B$8</x:f>
        <x:v>1368</x:v>
      </x:c>
      <x:c r="J29" s="149" t="n">
        <x:f>(H29-G29)*Assumptions!$B$9</x:f>
        <x:v>1330</x:v>
      </x:c>
      <x:c r="K29" s="149" t="n">
        <x:f>(I29-H29)*Assumptions!$B$10</x:f>
        <x:v>2736</x:v>
      </x:c>
      <x:c r="L29" s="107" t="str">
        <x:v>Professional / Institutional</x:v>
      </x:c>
      <x:c r="M29" s="107" t="str">
        <x:v>v0.2 calibrated internal balancing assumption</x:v>
      </x:c>
      <x:c r="N29" s="105"/>
      <x:c r="O29" s="105"/>
      <x:c r="P29" s="105"/>
      <x:c r="Q29" s="105"/>
      <x:c r="R29" s="105"/>
      <x:c r="S29" s="105"/>
      <x:c r="T29" s="105"/>
      <x:c r="U29" s="105"/>
    </x:row>
    <x:row r="30">
      <x:c r="A30" s="107" t="str">
        <x:v>BLD029</x:v>
      </x:c>
      <x:c r="B30" s="107" t="str">
        <x:v>Trading House</x:v>
      </x:c>
      <x:c r="C30" s="107" t="str">
        <x:v>Growing</x:v>
      </x:c>
      <x:c r="D30" s="107" t="n">
        <x:v>12</x:v>
      </x:c>
      <x:c r="E30" s="107" t="str">
        <x:v>Trading &amp; Markets</x:v>
      </x:c>
      <x:c r="F30" s="148" t="n">
        <x:v>820</x:v>
      </x:c>
      <x:c r="G30" s="149" t="n">
        <x:f>F30*Assumptions!$B$6</x:f>
        <x:v>820</x:v>
      </x:c>
      <x:c r="H30" s="149" t="n">
        <x:f>F30*Assumptions!$B$7</x:f>
        <x:v>1107</x:v>
      </x:c>
      <x:c r="I30" s="149" t="n">
        <x:f>F30*Assumptions!$B$8</x:f>
        <x:v>1476</x:v>
      </x:c>
      <x:c r="J30" s="149" t="n">
        <x:f>(H30-G30)*Assumptions!$B$9</x:f>
        <x:v>1435</x:v>
      </x:c>
      <x:c r="K30" s="149" t="n">
        <x:f>(I30-H30)*Assumptions!$B$10</x:f>
        <x:v>2952</x:v>
      </x:c>
      <x:c r="L30" s="107" t="str">
        <x:v>Active Trader / Institutional</x:v>
      </x:c>
      <x:c r="M30" s="107" t="str">
        <x:v>v0.2 calibrated internal balancing assumption</x:v>
      </x:c>
      <x:c r="N30" s="105"/>
      <x:c r="O30" s="105"/>
      <x:c r="P30" s="105"/>
      <x:c r="Q30" s="105"/>
      <x:c r="R30" s="105"/>
      <x:c r="S30" s="105"/>
      <x:c r="T30" s="105"/>
      <x:c r="U30" s="105"/>
    </x:row>
    <x:row r="31">
      <x:c r="A31" s="107" t="str">
        <x:v>BLD030</x:v>
      </x:c>
      <x:c r="B31" s="107" t="str">
        <x:v>Private Vault Facility</x:v>
      </x:c>
      <x:c r="C31" s="107" t="str">
        <x:v>Growing</x:v>
      </x:c>
      <x:c r="D31" s="107" t="n">
        <x:v>12</x:v>
      </x:c>
      <x:c r="E31" s="107" t="str">
        <x:v>Treasury, Vault &amp; Custody</x:v>
      </x:c>
      <x:c r="F31" s="148" t="n">
        <x:v>880</x:v>
      </x:c>
      <x:c r="G31" s="149" t="n">
        <x:f>F31*Assumptions!$B$6</x:f>
        <x:v>880</x:v>
      </x:c>
      <x:c r="H31" s="149" t="n">
        <x:f>F31*Assumptions!$B$7</x:f>
        <x:v>1188</x:v>
      </x:c>
      <x:c r="I31" s="149" t="n">
        <x:f>F31*Assumptions!$B$8</x:f>
        <x:v>1584</x:v>
      </x:c>
      <x:c r="J31" s="149" t="n">
        <x:f>(H31-G31)*Assumptions!$B$9</x:f>
        <x:v>1540</x:v>
      </x:c>
      <x:c r="K31" s="149" t="n">
        <x:f>(I31-H31)*Assumptions!$B$10</x:f>
        <x:v>3168</x:v>
      </x:c>
      <x:c r="L31" s="107" t="str">
        <x:v>HNW / Institutional</x:v>
      </x:c>
      <x:c r="M31" s="107" t="str">
        <x:v>v0.2 calibrated internal balancing assumption</x:v>
      </x:c>
      <x:c r="N31" s="105"/>
      <x:c r="O31" s="105"/>
      <x:c r="P31" s="105"/>
      <x:c r="Q31" s="105"/>
      <x:c r="R31" s="105"/>
      <x:c r="S31" s="105"/>
      <x:c r="T31" s="105"/>
      <x:c r="U31" s="105"/>
    </x:row>
    <x:row r="32">
      <x:c r="A32" s="107" t="str">
        <x:v>BLD031</x:v>
      </x:c>
      <x:c r="B32" s="107" t="str">
        <x:v>Regional Bank</x:v>
      </x:c>
      <x:c r="C32" s="107" t="str">
        <x:v>Established</x:v>
      </x:c>
      <x:c r="D32" s="107" t="n">
        <x:v>13</x:v>
      </x:c>
      <x:c r="E32" s="107" t="str">
        <x:v>Banking &amp; Savings</x:v>
      </x:c>
      <x:c r="F32" s="148" t="n">
        <x:v>1050</x:v>
      </x:c>
      <x:c r="G32" s="149" t="n">
        <x:f>F32*Assumptions!$B$6</x:f>
        <x:v>1050</x:v>
      </x:c>
      <x:c r="H32" s="149" t="n">
        <x:f>F32*Assumptions!$B$7</x:f>
        <x:v>1417.5</x:v>
      </x:c>
      <x:c r="I32" s="149" t="n">
        <x:f>F32*Assumptions!$B$8</x:f>
        <x:v>1890</x:v>
      </x:c>
      <x:c r="J32" s="149" t="n">
        <x:f>(H32-G32)*Assumptions!$B$9</x:f>
        <x:v>1837.5</x:v>
      </x:c>
      <x:c r="K32" s="149" t="n">
        <x:f>(I32-H32)*Assumptions!$B$10</x:f>
        <x:v>3780</x:v>
      </x:c>
      <x:c r="L32" s="107" t="str">
        <x:v>Mass Retail / Affluent</x:v>
      </x:c>
      <x:c r="M32" s="107" t="str">
        <x:v>v0.2 calibrated internal balancing assumption</x:v>
      </x:c>
      <x:c r="N32" s="105"/>
      <x:c r="O32" s="105"/>
      <x:c r="P32" s="105"/>
      <x:c r="Q32" s="105"/>
      <x:c r="R32" s="105"/>
      <x:c r="S32" s="105"/>
      <x:c r="T32" s="105"/>
      <x:c r="U32" s="105"/>
    </x:row>
    <x:row r="33">
      <x:c r="A33" s="107" t="str">
        <x:v>BLD032</x:v>
      </x:c>
      <x:c r="B33" s="107" t="str">
        <x:v>Stock Brokerage Center</x:v>
      </x:c>
      <x:c r="C33" s="107" t="str">
        <x:v>Established</x:v>
      </x:c>
      <x:c r="D33" s="107" t="n">
        <x:v>13</x:v>
      </x:c>
      <x:c r="E33" s="107" t="str">
        <x:v>Brokerage</x:v>
      </x:c>
      <x:c r="F33" s="148" t="n">
        <x:v>1250</x:v>
      </x:c>
      <x:c r="G33" s="149" t="n">
        <x:f>F33*Assumptions!$B$6</x:f>
        <x:v>1250</x:v>
      </x:c>
      <x:c r="H33" s="149" t="n">
        <x:f>F33*Assumptions!$B$7</x:f>
        <x:v>1687.5</x:v>
      </x:c>
      <x:c r="I33" s="149" t="n">
        <x:f>F33*Assumptions!$B$8</x:f>
        <x:v>2250</x:v>
      </x:c>
      <x:c r="J33" s="149" t="n">
        <x:f>(H33-G33)*Assumptions!$B$9</x:f>
        <x:v>2187.5</x:v>
      </x:c>
      <x:c r="K33" s="149" t="n">
        <x:f>(I33-H33)*Assumptions!$B$10</x:f>
        <x:v>4500</x:v>
      </x:c>
      <x:c r="L33" s="107" t="str">
        <x:v>Retail Investor / Affluent</x:v>
      </x:c>
      <x:c r="M33" s="107" t="str">
        <x:v>v0.2 calibrated internal balancing assumption</x:v>
      </x:c>
      <x:c r="N33" s="105"/>
      <x:c r="O33" s="105"/>
      <x:c r="P33" s="105"/>
      <x:c r="Q33" s="105"/>
      <x:c r="R33" s="105"/>
      <x:c r="S33" s="105"/>
      <x:c r="T33" s="105"/>
      <x:c r="U33" s="105"/>
    </x:row>
    <x:row r="34">
      <x:c r="A34" s="107" t="str">
        <x:v>BLD033</x:v>
      </x:c>
      <x:c r="B34" s="107" t="str">
        <x:v>Investment Fund HQ</x:v>
      </x:c>
      <x:c r="C34" s="107" t="str">
        <x:v>Established</x:v>
      </x:c>
      <x:c r="D34" s="107" t="n">
        <x:v>14</x:v>
      </x:c>
      <x:c r="E34" s="107" t="str">
        <x:v>Funds &amp; Asset Management</x:v>
      </x:c>
      <x:c r="F34" s="148" t="n">
        <x:v>1450</x:v>
      </x:c>
      <x:c r="G34" s="149" t="n">
        <x:f>F34*Assumptions!$B$6</x:f>
        <x:v>1450</x:v>
      </x:c>
      <x:c r="H34" s="149" t="n">
        <x:f>F34*Assumptions!$B$7</x:f>
        <x:v>1957.5000000000002</x:v>
      </x:c>
      <x:c r="I34" s="149" t="n">
        <x:f>F34*Assumptions!$B$8</x:f>
        <x:v>2610</x:v>
      </x:c>
      <x:c r="J34" s="149" t="n">
        <x:f>(H34-G34)*Assumptions!$B$9</x:f>
        <x:v>2537.500000000001</x:v>
      </x:c>
      <x:c r="K34" s="149" t="n">
        <x:f>(I34-H34)*Assumptions!$B$10</x:f>
        <x:v>5219.999999999998</x:v>
      </x:c>
      <x:c r="L34" s="107" t="str">
        <x:v>Affluent / HNW / Institutional</x:v>
      </x:c>
      <x:c r="M34" s="107" t="str">
        <x:v>v0.2 calibrated internal balancing assumption</x:v>
      </x:c>
      <x:c r="N34" s="105"/>
      <x:c r="O34" s="105"/>
      <x:c r="P34" s="105"/>
      <x:c r="Q34" s="105"/>
      <x:c r="R34" s="105"/>
      <x:c r="S34" s="105"/>
      <x:c r="T34" s="105"/>
      <x:c r="U34" s="105"/>
    </x:row>
    <x:row r="35">
      <x:c r="A35" s="107" t="str">
        <x:v>BLD034</x:v>
      </x:c>
      <x:c r="B35" s="107" t="str">
        <x:v>Insurance Company HQ</x:v>
      </x:c>
      <x:c r="C35" s="107" t="str">
        <x:v>Established</x:v>
      </x:c>
      <x:c r="D35" s="107" t="n">
        <x:v>14</x:v>
      </x:c>
      <x:c r="E35" s="107" t="str">
        <x:v>Insurance &amp; Risk</x:v>
      </x:c>
      <x:c r="F35" s="148" t="n">
        <x:v>1650</x:v>
      </x:c>
      <x:c r="G35" s="149" t="n">
        <x:f>F35*Assumptions!$B$6</x:f>
        <x:v>1650</x:v>
      </x:c>
      <x:c r="H35" s="149" t="n">
        <x:f>F35*Assumptions!$B$7</x:f>
        <x:v>2227.5</x:v>
      </x:c>
      <x:c r="I35" s="149" t="n">
        <x:f>F35*Assumptions!$B$8</x:f>
        <x:v>2970</x:v>
      </x:c>
      <x:c r="J35" s="149" t="n">
        <x:f>(H35-G35)*Assumptions!$B$9</x:f>
        <x:v>2887.5</x:v>
      </x:c>
      <x:c r="K35" s="149" t="n">
        <x:f>(I35-H35)*Assumptions!$B$10</x:f>
        <x:v>5940</x:v>
      </x:c>
      <x:c r="L35" s="107" t="str">
        <x:v>Retail / SMB / Affluent</x:v>
      </x:c>
      <x:c r="M35" s="107" t="str">
        <x:v>v0.2 calibrated internal balancing assumption</x:v>
      </x:c>
      <x:c r="N35" s="105"/>
      <x:c r="O35" s="105"/>
      <x:c r="P35" s="105"/>
      <x:c r="Q35" s="105"/>
      <x:c r="R35" s="105"/>
      <x:c r="S35" s="105"/>
      <x:c r="T35" s="105"/>
      <x:c r="U35" s="105"/>
    </x:row>
    <x:row r="36">
      <x:c r="A36" s="107" t="str">
        <x:v>BLD035</x:v>
      </x:c>
      <x:c r="B36" s="107" t="str">
        <x:v>Financial Data Center</x:v>
      </x:c>
      <x:c r="C36" s="107" t="str">
        <x:v>Established</x:v>
      </x:c>
      <x:c r="D36" s="107" t="n">
        <x:v>14</x:v>
      </x:c>
      <x:c r="E36" s="107" t="str">
        <x:v>Research, Data &amp; Fintech</x:v>
      </x:c>
      <x:c r="F36" s="148" t="n">
        <x:v>1850</x:v>
      </x:c>
      <x:c r="G36" s="149" t="n">
        <x:f>F36*Assumptions!$B$6</x:f>
        <x:v>1850</x:v>
      </x:c>
      <x:c r="H36" s="149" t="n">
        <x:f>F36*Assumptions!$B$7</x:f>
        <x:v>2497.5</x:v>
      </x:c>
      <x:c r="I36" s="149" t="n">
        <x:f>F36*Assumptions!$B$8</x:f>
        <x:v>3330</x:v>
      </x:c>
      <x:c r="J36" s="149" t="n">
        <x:f>(H36-G36)*Assumptions!$B$9</x:f>
        <x:v>3237.5</x:v>
      </x:c>
      <x:c r="K36" s="149" t="n">
        <x:f>(I36-H36)*Assumptions!$B$10</x:f>
        <x:v>6660</x:v>
      </x:c>
      <x:c r="L36" s="107" t="str">
        <x:v>Professional / Institutional</x:v>
      </x:c>
      <x:c r="M36" s="107" t="str">
        <x:v>v0.2 calibrated internal balancing assumption</x:v>
      </x:c>
      <x:c r="N36" s="105"/>
      <x:c r="O36" s="105"/>
      <x:c r="P36" s="105"/>
      <x:c r="Q36" s="105"/>
      <x:c r="R36" s="105"/>
      <x:c r="S36" s="105"/>
      <x:c r="T36" s="105"/>
      <x:c r="U36" s="105"/>
    </x:row>
    <x:row r="37">
      <x:c r="A37" s="107" t="str">
        <x:v>BLD036</x:v>
      </x:c>
      <x:c r="B37" s="107" t="str">
        <x:v>Market Maker Office</x:v>
      </x:c>
      <x:c r="C37" s="107" t="str">
        <x:v>Established</x:v>
      </x:c>
      <x:c r="D37" s="107" t="n">
        <x:v>15</x:v>
      </x:c>
      <x:c r="E37" s="107" t="str">
        <x:v>Trading &amp; Markets</x:v>
      </x:c>
      <x:c r="F37" s="148" t="n">
        <x:v>2050</x:v>
      </x:c>
      <x:c r="G37" s="149" t="n">
        <x:f>F37*Assumptions!$B$6</x:f>
        <x:v>2050</x:v>
      </x:c>
      <x:c r="H37" s="149" t="n">
        <x:f>F37*Assumptions!$B$7</x:f>
        <x:v>2767.5</x:v>
      </x:c>
      <x:c r="I37" s="149" t="n">
        <x:f>F37*Assumptions!$B$8</x:f>
        <x:v>3690</x:v>
      </x:c>
      <x:c r="J37" s="149" t="n">
        <x:f>(H37-G37)*Assumptions!$B$9</x:f>
        <x:v>3587.5</x:v>
      </x:c>
      <x:c r="K37" s="149" t="n">
        <x:f>(I37-H37)*Assumptions!$B$10</x:f>
        <x:v>7380</x:v>
      </x:c>
      <x:c r="L37" s="107" t="str">
        <x:v>Active Trader / Institutional</x:v>
      </x:c>
      <x:c r="M37" s="107" t="str">
        <x:v>v0.2 calibrated internal balancing assumption</x:v>
      </x:c>
      <x:c r="N37" s="105"/>
      <x:c r="O37" s="105"/>
      <x:c r="P37" s="105"/>
      <x:c r="Q37" s="105"/>
      <x:c r="R37" s="105"/>
      <x:c r="S37" s="105"/>
      <x:c r="T37" s="105"/>
      <x:c r="U37" s="105"/>
    </x:row>
    <x:row r="38">
      <x:c r="A38" s="107" t="str">
        <x:v>BLD037</x:v>
      </x:c>
      <x:c r="B38" s="107" t="str">
        <x:v>Private Banking Center</x:v>
      </x:c>
      <x:c r="C38" s="107" t="str">
        <x:v>Established</x:v>
      </x:c>
      <x:c r="D38" s="107" t="n">
        <x:v>15</x:v>
      </x:c>
      <x:c r="E38" s="107" t="str">
        <x:v>Wealth &amp; Advisory</x:v>
      </x:c>
      <x:c r="F38" s="148" t="n">
        <x:v>2250</x:v>
      </x:c>
      <x:c r="G38" s="149" t="n">
        <x:f>F38*Assumptions!$B$6</x:f>
        <x:v>2250</x:v>
      </x:c>
      <x:c r="H38" s="149" t="n">
        <x:f>F38*Assumptions!$B$7</x:f>
        <x:v>3037.5</x:v>
      </x:c>
      <x:c r="I38" s="149" t="n">
        <x:f>F38*Assumptions!$B$8</x:f>
        <x:v>4050</x:v>
      </x:c>
      <x:c r="J38" s="149" t="n">
        <x:f>(H38-G38)*Assumptions!$B$9</x:f>
        <x:v>3937.5</x:v>
      </x:c>
      <x:c r="K38" s="149" t="n">
        <x:f>(I38-H38)*Assumptions!$B$10</x:f>
        <x:v>8100</x:v>
      </x:c>
      <x:c r="L38" s="107" t="str">
        <x:v>Affluent / HNW</x:v>
      </x:c>
      <x:c r="M38" s="107" t="str">
        <x:v>v0.2 calibrated internal balancing assumption</x:v>
      </x:c>
      <x:c r="N38" s="105"/>
      <x:c r="O38" s="105"/>
      <x:c r="P38" s="105"/>
      <x:c r="Q38" s="105"/>
      <x:c r="R38" s="105"/>
      <x:c r="S38" s="105"/>
      <x:c r="T38" s="105"/>
      <x:c r="U38" s="105"/>
    </x:row>
    <x:row r="39">
      <x:c r="A39" s="107" t="str">
        <x:v>BLD038</x:v>
      </x:c>
      <x:c r="B39" s="107" t="str">
        <x:v>Corporate Treasury Center</x:v>
      </x:c>
      <x:c r="C39" s="107" t="str">
        <x:v>Established</x:v>
      </x:c>
      <x:c r="D39" s="107" t="n">
        <x:v>15</x:v>
      </x:c>
      <x:c r="E39" s="107" t="str">
        <x:v>Treasury, Vault &amp; Custody</x:v>
      </x:c>
      <x:c r="F39" s="148" t="n">
        <x:v>2450</x:v>
      </x:c>
      <x:c r="G39" s="149" t="n">
        <x:f>F39*Assumptions!$B$6</x:f>
        <x:v>2450</x:v>
      </x:c>
      <x:c r="H39" s="149" t="n">
        <x:f>F39*Assumptions!$B$7</x:f>
        <x:v>3307.5</x:v>
      </x:c>
      <x:c r="I39" s="149" t="n">
        <x:f>F39*Assumptions!$B$8</x:f>
        <x:v>4410</x:v>
      </x:c>
      <x:c r="J39" s="149" t="n">
        <x:f>(H39-G39)*Assumptions!$B$9</x:f>
        <x:v>4287.5</x:v>
      </x:c>
      <x:c r="K39" s="149" t="n">
        <x:f>(I39-H39)*Assumptions!$B$10</x:f>
        <x:v>8820</x:v>
      </x:c>
      <x:c r="L39" s="107" t="str">
        <x:v>HNW / Institutional</x:v>
      </x:c>
      <x:c r="M39" s="107" t="str">
        <x:v>v0.2 calibrated internal balancing assumption</x:v>
      </x:c>
      <x:c r="N39" s="105"/>
      <x:c r="O39" s="105"/>
      <x:c r="P39" s="105"/>
      <x:c r="Q39" s="105"/>
      <x:c r="R39" s="105"/>
      <x:c r="S39" s="105"/>
      <x:c r="T39" s="105"/>
      <x:c r="U39" s="105"/>
    </x:row>
    <x:row r="40">
      <x:c r="A40" s="107" t="str">
        <x:v>BLD039</x:v>
      </x:c>
      <x:c r="B40" s="107" t="str">
        <x:v>Securities Exchange</x:v>
      </x:c>
      <x:c r="C40" s="107" t="str">
        <x:v>Established</x:v>
      </x:c>
      <x:c r="D40" s="107" t="n">
        <x:v>16</x:v>
      </x:c>
      <x:c r="E40" s="107" t="str">
        <x:v>Trading &amp; Markets</x:v>
      </x:c>
      <x:c r="F40" s="148" t="n">
        <x:v>2650</x:v>
      </x:c>
      <x:c r="G40" s="149" t="n">
        <x:f>F40*Assumptions!$B$6</x:f>
        <x:v>2650</x:v>
      </x:c>
      <x:c r="H40" s="149" t="n">
        <x:f>F40*Assumptions!$B$7</x:f>
        <x:v>3577.5000000000005</x:v>
      </x:c>
      <x:c r="I40" s="149" t="n">
        <x:f>F40*Assumptions!$B$8</x:f>
        <x:v>4770</x:v>
      </x:c>
      <x:c r="J40" s="149" t="n">
        <x:f>(H40-G40)*Assumptions!$B$9</x:f>
        <x:v>4637.500000000002</x:v>
      </x:c>
      <x:c r="K40" s="149" t="n">
        <x:f>(I40-H40)*Assumptions!$B$10</x:f>
        <x:v>9539.999999999996</x:v>
      </x:c>
      <x:c r="L40" s="107" t="str">
        <x:v>Active Trader / Institutional</x:v>
      </x:c>
      <x:c r="M40" s="107" t="str">
        <x:v>v0.2 calibrated internal balancing assumption</x:v>
      </x:c>
      <x:c r="N40" s="105"/>
      <x:c r="O40" s="105"/>
      <x:c r="P40" s="105"/>
      <x:c r="Q40" s="105"/>
      <x:c r="R40" s="105"/>
      <x:c r="S40" s="105"/>
      <x:c r="T40" s="105"/>
      <x:c r="U40" s="105"/>
    </x:row>
    <x:row r="41">
      <x:c r="A41" s="107" t="str">
        <x:v>BLD040</x:v>
      </x:c>
      <x:c r="B41" s="107" t="str">
        <x:v>Investment Bank</x:v>
      </x:c>
      <x:c r="C41" s="107" t="str">
        <x:v>Established</x:v>
      </x:c>
      <x:c r="D41" s="107" t="n">
        <x:v>16</x:v>
      </x:c>
      <x:c r="E41" s="107" t="str">
        <x:v>Institutional Finance</x:v>
      </x:c>
      <x:c r="F41" s="148" t="n">
        <x:v>2850</x:v>
      </x:c>
      <x:c r="G41" s="149" t="n">
        <x:f>F41*Assumptions!$B$6</x:f>
        <x:v>2850</x:v>
      </x:c>
      <x:c r="H41" s="149" t="n">
        <x:f>F41*Assumptions!$B$7</x:f>
        <x:v>3847.5000000000005</x:v>
      </x:c>
      <x:c r="I41" s="149" t="n">
        <x:f>F41*Assumptions!$B$8</x:f>
        <x:v>5130</x:v>
      </x:c>
      <x:c r="J41" s="149" t="n">
        <x:f>(H41-G41)*Assumptions!$B$9</x:f>
        <x:v>4987.500000000002</x:v>
      </x:c>
      <x:c r="K41" s="149" t="n">
        <x:f>(I41-H41)*Assumptions!$B$10</x:f>
        <x:v>10259.999999999996</x:v>
      </x:c>
      <x:c r="L41" s="107" t="str">
        <x:v>Institutional / HNW</x:v>
      </x:c>
      <x:c r="M41" s="107" t="str">
        <x:v>v0.2 calibrated internal balancing assumption</x:v>
      </x:c>
      <x:c r="N41" s="105"/>
      <x:c r="O41" s="105"/>
      <x:c r="P41" s="105"/>
      <x:c r="Q41" s="105"/>
      <x:c r="R41" s="105"/>
      <x:c r="S41" s="105"/>
      <x:c r="T41" s="105"/>
      <x:c r="U41" s="105"/>
    </x:row>
    <x:row r="42">
      <x:c r="A42" s="107" t="str">
        <x:v>BLD041</x:v>
      </x:c>
      <x:c r="B42" s="107" t="str">
        <x:v>Global Brokerage Tower</x:v>
      </x:c>
      <x:c r="C42" s="107" t="str">
        <x:v>Elite</x:v>
      </x:c>
      <x:c r="D42" s="107" t="n">
        <x:v>17</x:v>
      </x:c>
      <x:c r="E42" s="107" t="str">
        <x:v>Brokerage</x:v>
      </x:c>
      <x:c r="F42" s="148" t="n">
        <x:v>3400</x:v>
      </x:c>
      <x:c r="G42" s="149" t="n">
        <x:f>F42*Assumptions!$B$6</x:f>
        <x:v>3400</x:v>
      </x:c>
      <x:c r="H42" s="149" t="n">
        <x:f>F42*Assumptions!$B$7</x:f>
        <x:v>4590</x:v>
      </x:c>
      <x:c r="I42" s="149" t="n">
        <x:f>F42*Assumptions!$B$8</x:f>
        <x:v>6120</x:v>
      </x:c>
      <x:c r="J42" s="149" t="n">
        <x:f>(H42-G42)*Assumptions!$B$9</x:f>
        <x:v>5950</x:v>
      </x:c>
      <x:c r="K42" s="149" t="n">
        <x:f>(I42-H42)*Assumptions!$B$10</x:f>
        <x:v>12240</x:v>
      </x:c>
      <x:c r="L42" s="107" t="str">
        <x:v>Retail Investor / Affluent</x:v>
      </x:c>
      <x:c r="M42" s="107" t="str">
        <x:v>v0.2 calibrated internal balancing assumption</x:v>
      </x:c>
      <x:c r="N42" s="105"/>
      <x:c r="O42" s="105"/>
      <x:c r="P42" s="105"/>
      <x:c r="Q42" s="105"/>
      <x:c r="R42" s="105"/>
      <x:c r="S42" s="105"/>
      <x:c r="T42" s="105"/>
      <x:c r="U42" s="105"/>
    </x:row>
    <x:row r="43">
      <x:c r="A43" s="107" t="str">
        <x:v>BLD042</x:v>
      </x:c>
      <x:c r="B43" s="107" t="str">
        <x:v>Major Asset Manager</x:v>
      </x:c>
      <x:c r="C43" s="107" t="str">
        <x:v>Elite</x:v>
      </x:c>
      <x:c r="D43" s="107" t="n">
        <x:v>18</x:v>
      </x:c>
      <x:c r="E43" s="107" t="str">
        <x:v>Funds &amp; Asset Management</x:v>
      </x:c>
      <x:c r="F43" s="148" t="n">
        <x:v>4200</x:v>
      </x:c>
      <x:c r="G43" s="149" t="n">
        <x:f>F43*Assumptions!$B$6</x:f>
        <x:v>4200</x:v>
      </x:c>
      <x:c r="H43" s="149" t="n">
        <x:f>F43*Assumptions!$B$7</x:f>
        <x:v>5670</x:v>
      </x:c>
      <x:c r="I43" s="149" t="n">
        <x:f>F43*Assumptions!$B$8</x:f>
        <x:v>7560</x:v>
      </x:c>
      <x:c r="J43" s="149" t="n">
        <x:f>(H43-G43)*Assumptions!$B$9</x:f>
        <x:v>7350</x:v>
      </x:c>
      <x:c r="K43" s="149" t="n">
        <x:f>(I43-H43)*Assumptions!$B$10</x:f>
        <x:v>15120</x:v>
      </x:c>
      <x:c r="L43" s="107" t="str">
        <x:v>Affluent / HNW / Institutional</x:v>
      </x:c>
      <x:c r="M43" s="107" t="str">
        <x:v>v0.2 calibrated internal balancing assumption</x:v>
      </x:c>
      <x:c r="N43" s="105"/>
      <x:c r="O43" s="105"/>
      <x:c r="P43" s="105"/>
      <x:c r="Q43" s="105"/>
      <x:c r="R43" s="105"/>
      <x:c r="S43" s="105"/>
      <x:c r="T43" s="105"/>
      <x:c r="U43" s="105"/>
    </x:row>
    <x:row r="44">
      <x:c r="A44" s="107" t="str">
        <x:v>BLD043</x:v>
      </x:c>
      <x:c r="B44" s="107" t="str">
        <x:v>Institutional Trading Center</x:v>
      </x:c>
      <x:c r="C44" s="107" t="str">
        <x:v>Elite</x:v>
      </x:c>
      <x:c r="D44" s="107" t="n">
        <x:v>19</x:v>
      </x:c>
      <x:c r="E44" s="107" t="str">
        <x:v>Trading &amp; Markets</x:v>
      </x:c>
      <x:c r="F44" s="148" t="n">
        <x:v>5000</x:v>
      </x:c>
      <x:c r="G44" s="149" t="n">
        <x:f>F44*Assumptions!$B$6</x:f>
        <x:v>5000</x:v>
      </x:c>
      <x:c r="H44" s="149" t="n">
        <x:f>F44*Assumptions!$B$7</x:f>
        <x:v>6750</x:v>
      </x:c>
      <x:c r="I44" s="149" t="n">
        <x:f>F44*Assumptions!$B$8</x:f>
        <x:v>9000</x:v>
      </x:c>
      <x:c r="J44" s="149" t="n">
        <x:f>(H44-G44)*Assumptions!$B$9</x:f>
        <x:v>8750</x:v>
      </x:c>
      <x:c r="K44" s="149" t="n">
        <x:f>(I44-H44)*Assumptions!$B$10</x:f>
        <x:v>18000</x:v>
      </x:c>
      <x:c r="L44" s="107" t="str">
        <x:v>Active Trader / Institutional</x:v>
      </x:c>
      <x:c r="M44" s="107" t="str">
        <x:v>v0.2 calibrated internal balancing assumption</x:v>
      </x:c>
      <x:c r="N44" s="105"/>
      <x:c r="O44" s="105"/>
      <x:c r="P44" s="105"/>
      <x:c r="Q44" s="105"/>
      <x:c r="R44" s="105"/>
      <x:c r="S44" s="105"/>
      <x:c r="T44" s="105"/>
      <x:c r="U44" s="105"/>
    </x:row>
    <x:row r="45">
      <x:c r="A45" s="107" t="str">
        <x:v>BLD044</x:v>
      </x:c>
      <x:c r="B45" s="107" t="str">
        <x:v>Global Wealth Center</x:v>
      </x:c>
      <x:c r="C45" s="107" t="str">
        <x:v>Elite</x:v>
      </x:c>
      <x:c r="D45" s="107" t="n">
        <x:v>19</x:v>
      </x:c>
      <x:c r="E45" s="107" t="str">
        <x:v>Wealth &amp; Advisory</x:v>
      </x:c>
      <x:c r="F45" s="148" t="n">
        <x:v>5800</x:v>
      </x:c>
      <x:c r="G45" s="149" t="n">
        <x:f>F45*Assumptions!$B$6</x:f>
        <x:v>5800</x:v>
      </x:c>
      <x:c r="H45" s="149" t="n">
        <x:f>F45*Assumptions!$B$7</x:f>
        <x:v>7830.000000000001</x:v>
      </x:c>
      <x:c r="I45" s="149" t="n">
        <x:f>F45*Assumptions!$B$8</x:f>
        <x:v>10440</x:v>
      </x:c>
      <x:c r="J45" s="149" t="n">
        <x:f>(H45-G45)*Assumptions!$B$9</x:f>
        <x:v>10150.000000000004</x:v>
      </x:c>
      <x:c r="K45" s="149" t="n">
        <x:f>(I45-H45)*Assumptions!$B$10</x:f>
        <x:v>20879.999999999993</x:v>
      </x:c>
      <x:c r="L45" s="107" t="str">
        <x:v>Affluent / HNW</x:v>
      </x:c>
      <x:c r="M45" s="107" t="str">
        <x:v>v0.2 calibrated internal balancing assumption</x:v>
      </x:c>
      <x:c r="N45" s="105"/>
      <x:c r="O45" s="105"/>
      <x:c r="P45" s="105"/>
      <x:c r="Q45" s="105"/>
      <x:c r="R45" s="105"/>
      <x:c r="S45" s="105"/>
      <x:c r="T45" s="105"/>
      <x:c r="U45" s="105"/>
    </x:row>
    <x:row r="46">
      <x:c r="A46" s="107" t="str">
        <x:v>BLD045</x:v>
      </x:c>
      <x:c r="B46" s="107" t="str">
        <x:v>Financial Exchange Tower</x:v>
      </x:c>
      <x:c r="C46" s="107" t="str">
        <x:v>Elite</x:v>
      </x:c>
      <x:c r="D46" s="107" t="n">
        <x:v>20</x:v>
      </x:c>
      <x:c r="E46" s="107" t="str">
        <x:v>Trading &amp; Markets</x:v>
      </x:c>
      <x:c r="F46" s="148" t="n">
        <x:v>6600</x:v>
      </x:c>
      <x:c r="G46" s="149" t="n">
        <x:f>F46*Assumptions!$B$6</x:f>
        <x:v>6600</x:v>
      </x:c>
      <x:c r="H46" s="149" t="n">
        <x:f>F46*Assumptions!$B$7</x:f>
        <x:v>8910</x:v>
      </x:c>
      <x:c r="I46" s="149" t="n">
        <x:f>F46*Assumptions!$B$8</x:f>
        <x:v>11880</x:v>
      </x:c>
      <x:c r="J46" s="149" t="n">
        <x:f>(H46-G46)*Assumptions!$B$9</x:f>
        <x:v>11550</x:v>
      </x:c>
      <x:c r="K46" s="149" t="n">
        <x:f>(I46-H46)*Assumptions!$B$10</x:f>
        <x:v>23760</x:v>
      </x:c>
      <x:c r="L46" s="107" t="str">
        <x:v>Active Trader / Institutional</x:v>
      </x:c>
      <x:c r="M46" s="107" t="str">
        <x:v>v0.2 calibrated internal balancing assumption</x:v>
      </x:c>
      <x:c r="N46" s="105"/>
      <x:c r="O46" s="105"/>
      <x:c r="P46" s="105"/>
      <x:c r="Q46" s="105"/>
      <x:c r="R46" s="105"/>
      <x:c r="S46" s="105"/>
      <x:c r="T46" s="105"/>
      <x:c r="U46" s="105"/>
    </x:row>
    <x:row r="47">
      <x:c r="A47" s="107" t="str">
        <x:v>BLD046</x:v>
      </x:c>
      <x:c r="B47" s="107" t="str">
        <x:v>International Bank HQ</x:v>
      </x:c>
      <x:c r="C47" s="107" t="str">
        <x:v>Tycoon</x:v>
      </x:c>
      <x:c r="D47" s="107" t="n">
        <x:v>21</x:v>
      </x:c>
      <x:c r="E47" s="107" t="str">
        <x:v>Banking &amp; Savings</x:v>
      </x:c>
      <x:c r="F47" s="148" t="n">
        <x:v>8000</x:v>
      </x:c>
      <x:c r="G47" s="149" t="n">
        <x:f>F47*Assumptions!$B$6</x:f>
        <x:v>8000</x:v>
      </x:c>
      <x:c r="H47" s="149" t="n">
        <x:f>F47*Assumptions!$B$7</x:f>
        <x:v>10800</x:v>
      </x:c>
      <x:c r="I47" s="149" t="n">
        <x:f>F47*Assumptions!$B$8</x:f>
        <x:v>14400</x:v>
      </x:c>
      <x:c r="J47" s="149" t="n">
        <x:f>(H47-G47)*Assumptions!$B$9</x:f>
        <x:v>14000</x:v>
      </x:c>
      <x:c r="K47" s="149" t="n">
        <x:f>(I47-H47)*Assumptions!$B$10</x:f>
        <x:v>28800</x:v>
      </x:c>
      <x:c r="L47" s="107" t="str">
        <x:v>Mass Retail / Affluent</x:v>
      </x:c>
      <x:c r="M47" s="107" t="str">
        <x:v>v0.2 calibrated internal balancing assumption</x:v>
      </x:c>
      <x:c r="N47" s="105"/>
      <x:c r="O47" s="105"/>
      <x:c r="P47" s="105"/>
      <x:c r="Q47" s="105"/>
      <x:c r="R47" s="105"/>
      <x:c r="S47" s="105"/>
      <x:c r="T47" s="105"/>
      <x:c r="U47" s="105"/>
    </x:row>
    <x:row r="48">
      <x:c r="A48" s="107" t="str">
        <x:v>BLD047</x:v>
      </x:c>
      <x:c r="B48" s="107" t="str">
        <x:v>Global Investment Bank</x:v>
      </x:c>
      <x:c r="C48" s="107" t="str">
        <x:v>Tycoon</x:v>
      </x:c>
      <x:c r="D48" s="107" t="n">
        <x:v>22</x:v>
      </x:c>
      <x:c r="E48" s="107" t="str">
        <x:v>Institutional Finance</x:v>
      </x:c>
      <x:c r="F48" s="148" t="n">
        <x:v>11000</x:v>
      </x:c>
      <x:c r="G48" s="149" t="n">
        <x:f>F48*Assumptions!$B$6</x:f>
        <x:v>11000</x:v>
      </x:c>
      <x:c r="H48" s="149" t="n">
        <x:f>F48*Assumptions!$B$7</x:f>
        <x:v>14850.000000000002</x:v>
      </x:c>
      <x:c r="I48" s="149" t="n">
        <x:f>F48*Assumptions!$B$8</x:f>
        <x:v>19800</x:v>
      </x:c>
      <x:c r="J48" s="149" t="n">
        <x:f>(H48-G48)*Assumptions!$B$9</x:f>
        <x:v>19250.000000000007</x:v>
      </x:c>
      <x:c r="K48" s="149" t="n">
        <x:f>(I48-H48)*Assumptions!$B$10</x:f>
        <x:v>39599.999999999985</x:v>
      </x:c>
      <x:c r="L48" s="107" t="str">
        <x:v>Institutional / HNW</x:v>
      </x:c>
      <x:c r="M48" s="107" t="str">
        <x:v>v0.2 calibrated internal balancing assumption</x:v>
      </x:c>
      <x:c r="N48" s="105"/>
      <x:c r="O48" s="105"/>
      <x:c r="P48" s="105"/>
      <x:c r="Q48" s="105"/>
      <x:c r="R48" s="105"/>
      <x:c r="S48" s="105"/>
      <x:c r="T48" s="105"/>
      <x:c r="U48" s="105"/>
    </x:row>
    <x:row r="49">
      <x:c r="A49" s="107" t="str">
        <x:v>BLD048</x:v>
      </x:c>
      <x:c r="B49" s="107" t="str">
        <x:v>Sovereign Fund Tower</x:v>
      </x:c>
      <x:c r="C49" s="107" t="str">
        <x:v>Tycoon</x:v>
      </x:c>
      <x:c r="D49" s="107" t="n">
        <x:v>23</x:v>
      </x:c>
      <x:c r="E49" s="107" t="str">
        <x:v>Funds &amp; Asset Management</x:v>
      </x:c>
      <x:c r="F49" s="148" t="n">
        <x:v>14000</x:v>
      </x:c>
      <x:c r="G49" s="149" t="n">
        <x:f>F49*Assumptions!$B$6</x:f>
        <x:v>14000</x:v>
      </x:c>
      <x:c r="H49" s="149" t="n">
        <x:f>F49*Assumptions!$B$7</x:f>
        <x:v>18900</x:v>
      </x:c>
      <x:c r="I49" s="149" t="n">
        <x:f>F49*Assumptions!$B$8</x:f>
        <x:v>25200</x:v>
      </x:c>
      <x:c r="J49" s="149" t="n">
        <x:f>(H49-G49)*Assumptions!$B$9</x:f>
        <x:v>24500</x:v>
      </x:c>
      <x:c r="K49" s="149" t="n">
        <x:f>(I49-H49)*Assumptions!$B$10</x:f>
        <x:v>50400</x:v>
      </x:c>
      <x:c r="L49" s="107" t="str">
        <x:v>Affluent / HNW / Institutional</x:v>
      </x:c>
      <x:c r="M49" s="107" t="str">
        <x:v>v0.2 calibrated internal balancing assumption</x:v>
      </x:c>
      <x:c r="N49" s="105"/>
      <x:c r="O49" s="105"/>
      <x:c r="P49" s="105"/>
      <x:c r="Q49" s="105"/>
      <x:c r="R49" s="105"/>
      <x:c r="S49" s="105"/>
      <x:c r="T49" s="105"/>
      <x:c r="U49" s="105"/>
    </x:row>
    <x:row r="50">
      <x:c r="A50" s="107" t="str">
        <x:v>BLD049</x:v>
      </x:c>
      <x:c r="B50" s="107" t="str">
        <x:v>World Financial Exchange</x:v>
      </x:c>
      <x:c r="C50" s="107" t="str">
        <x:v>Tycoon</x:v>
      </x:c>
      <x:c r="D50" s="107" t="n">
        <x:v>23</x:v>
      </x:c>
      <x:c r="E50" s="107" t="str">
        <x:v>Trading &amp; Markets</x:v>
      </x:c>
      <x:c r="F50" s="148" t="n">
        <x:v>17000</x:v>
      </x:c>
      <x:c r="G50" s="149" t="n">
        <x:f>F50*Assumptions!$B$6</x:f>
        <x:v>17000</x:v>
      </x:c>
      <x:c r="H50" s="149" t="n">
        <x:f>F50*Assumptions!$B$7</x:f>
        <x:v>22950</x:v>
      </x:c>
      <x:c r="I50" s="149" t="n">
        <x:f>F50*Assumptions!$B$8</x:f>
        <x:v>30600</x:v>
      </x:c>
      <x:c r="J50" s="149" t="n">
        <x:f>(H50-G50)*Assumptions!$B$9</x:f>
        <x:v>29750</x:v>
      </x:c>
      <x:c r="K50" s="149" t="n">
        <x:f>(I50-H50)*Assumptions!$B$10</x:f>
        <x:v>61200</x:v>
      </x:c>
      <x:c r="L50" s="107" t="str">
        <x:v>Active Trader / Institutional</x:v>
      </x:c>
      <x:c r="M50" s="107" t="str">
        <x:v>v0.2 calibrated internal balancing assumption</x:v>
      </x:c>
      <x:c r="N50" s="105"/>
      <x:c r="O50" s="105"/>
      <x:c r="P50" s="105"/>
      <x:c r="Q50" s="105"/>
      <x:c r="R50" s="105"/>
      <x:c r="S50" s="105"/>
      <x:c r="T50" s="105"/>
      <x:c r="U50" s="105"/>
    </x:row>
    <x:row r="51">
      <x:c r="A51" s="107" t="str">
        <x:v>BLD050</x:v>
      </x:c>
      <x:c r="B51" s="107" t="str">
        <x:v>Financial Empire Headquarters</x:v>
      </x:c>
      <x:c r="C51" s="107" t="str">
        <x:v>Tycoon</x:v>
      </x:c>
      <x:c r="D51" s="107" t="n">
        <x:v>24</x:v>
      </x:c>
      <x:c r="E51" s="107" t="str">
        <x:v>Institutional Finance</x:v>
      </x:c>
      <x:c r="F51" s="148" t="n">
        <x:v>20000</x:v>
      </x:c>
      <x:c r="G51" s="149" t="n">
        <x:f>F51*Assumptions!$B$6</x:f>
        <x:v>20000</x:v>
      </x:c>
      <x:c r="H51" s="149" t="n">
        <x:f>F51*Assumptions!$B$7</x:f>
        <x:v>27000</x:v>
      </x:c>
      <x:c r="I51" s="149" t="n">
        <x:f>F51*Assumptions!$B$8</x:f>
        <x:v>36000</x:v>
      </x:c>
      <x:c r="J51" s="149" t="n">
        <x:f>(H51-G51)*Assumptions!$B$9</x:f>
        <x:v>35000</x:v>
      </x:c>
      <x:c r="K51" s="149" t="n">
        <x:f>(I51-H51)*Assumptions!$B$10</x:f>
        <x:v>72000</x:v>
      </x:c>
      <x:c r="L51" s="107" t="str">
        <x:v>Institutional / HNW</x:v>
      </x:c>
      <x:c r="M51" s="107" t="str">
        <x:v>v0.2 calibrated internal balancing assumption</x:v>
      </x:c>
      <x:c r="N51" s="105"/>
      <x:c r="O51" s="105"/>
      <x:c r="P51" s="105"/>
      <x:c r="Q51" s="105"/>
      <x:c r="R51" s="105"/>
      <x:c r="S51" s="105"/>
      <x:c r="T51" s="105"/>
      <x:c r="U51" s="105"/>
    </x:row>
    <x:row r="52">
      <x:c r="A52" s="105"/>
      <x:c r="B52" s="105"/>
      <x:c r="C52" s="105"/>
      <x:c r="D52" s="105"/>
      <x:c r="E52" s="105"/>
      <x:c r="F52" s="105"/>
      <x:c r="G52" s="105"/>
      <x:c r="H52" s="105"/>
      <x:c r="I52" s="105"/>
      <x:c r="J52" s="105"/>
      <x:c r="K52" s="105"/>
      <x:c r="L52" s="105"/>
      <x:c r="M52" s="105"/>
      <x:c r="N52" s="105"/>
      <x:c r="O52" s="105"/>
      <x:c r="P52" s="105"/>
      <x:c r="Q52" s="105"/>
      <x:c r="R52" s="105"/>
      <x:c r="S52" s="105"/>
      <x:c r="T52" s="105"/>
      <x:c r="U52" s="105"/>
    </x:row>
    <x:row r="53">
      <x:c r="A53" s="105"/>
      <x:c r="B53" s="105"/>
      <x:c r="C53" s="105"/>
      <x:c r="D53" s="105"/>
      <x:c r="E53" s="105"/>
      <x:c r="F53" s="105"/>
      <x:c r="G53" s="105"/>
      <x:c r="H53" s="105"/>
      <x:c r="I53" s="105"/>
      <x:c r="J53" s="105"/>
      <x:c r="K53" s="105"/>
      <x:c r="L53" s="105"/>
      <x:c r="M53" s="105"/>
      <x:c r="N53" s="105"/>
      <x:c r="O53" s="105"/>
      <x:c r="P53" s="105"/>
      <x:c r="Q53" s="105"/>
      <x:c r="R53" s="105"/>
      <x:c r="S53" s="105"/>
      <x:c r="T53" s="105"/>
      <x:c r="U53" s="105"/>
    </x:row>
    <x:row r="54">
      <x:c r="A54" s="105"/>
      <x:c r="B54" s="105"/>
      <x:c r="C54" s="105"/>
      <x:c r="D54" s="105"/>
      <x:c r="E54" s="105"/>
      <x:c r="F54" s="105"/>
      <x:c r="G54" s="105"/>
      <x:c r="H54" s="105"/>
      <x:c r="I54" s="105"/>
      <x:c r="J54" s="105"/>
      <x:c r="K54" s="105"/>
      <x:c r="L54" s="105"/>
      <x:c r="M54" s="105"/>
      <x:c r="N54" s="105"/>
      <x:c r="O54" s="105"/>
      <x:c r="P54" s="105"/>
      <x:c r="Q54" s="105"/>
      <x:c r="R54" s="105"/>
      <x:c r="S54" s="105"/>
      <x:c r="T54" s="105"/>
      <x:c r="U54" s="105"/>
    </x:row>
    <x:row r="55">
      <x:c r="A55" s="105"/>
      <x:c r="B55" s="105"/>
      <x:c r="C55" s="105"/>
      <x:c r="D55" s="105"/>
      <x:c r="E55" s="105"/>
      <x:c r="F55" s="105"/>
      <x:c r="G55" s="105"/>
      <x:c r="H55" s="105"/>
      <x:c r="I55" s="105"/>
      <x:c r="J55" s="105"/>
      <x:c r="K55" s="105"/>
      <x:c r="L55" s="105"/>
      <x:c r="M55" s="105"/>
      <x:c r="N55" s="105"/>
      <x:c r="O55" s="105"/>
      <x:c r="P55" s="105"/>
      <x:c r="Q55" s="105"/>
      <x:c r="R55" s="105"/>
      <x:c r="S55" s="105"/>
      <x:c r="T55" s="105"/>
      <x:c r="U55" s="105"/>
    </x:row>
    <x:row r="56">
      <x:c r="A56" s="105"/>
      <x:c r="B56" s="105"/>
      <x:c r="C56" s="105"/>
      <x:c r="D56" s="105"/>
      <x:c r="E56" s="105"/>
      <x:c r="F56" s="105"/>
      <x:c r="G56" s="105"/>
      <x:c r="H56" s="105"/>
      <x:c r="I56" s="105"/>
      <x:c r="J56" s="105"/>
      <x:c r="K56" s="105"/>
      <x:c r="L56" s="105"/>
      <x:c r="M56" s="105"/>
      <x:c r="N56" s="105"/>
      <x:c r="O56" s="105"/>
      <x:c r="P56" s="105"/>
      <x:c r="Q56" s="105"/>
      <x:c r="R56" s="105"/>
      <x:c r="S56" s="105"/>
      <x:c r="T56" s="105"/>
      <x:c r="U56" s="105"/>
    </x:row>
    <x:row r="57">
      <x:c r="A57" s="105"/>
      <x:c r="B57" s="105"/>
      <x:c r="C57" s="105"/>
      <x:c r="D57" s="105"/>
      <x:c r="E57" s="105"/>
      <x:c r="F57" s="105"/>
      <x:c r="G57" s="105"/>
      <x:c r="H57" s="105"/>
      <x:c r="I57" s="105"/>
      <x:c r="J57" s="105"/>
      <x:c r="K57" s="105"/>
      <x:c r="L57" s="105"/>
      <x:c r="M57" s="105"/>
      <x:c r="N57" s="105"/>
      <x:c r="O57" s="105"/>
      <x:c r="P57" s="105"/>
      <x:c r="Q57" s="105"/>
      <x:c r="R57" s="105"/>
      <x:c r="S57" s="105"/>
      <x:c r="T57" s="105"/>
      <x:c r="U57" s="105"/>
    </x:row>
    <x:row r="58">
      <x:c r="A58" s="105"/>
      <x:c r="B58" s="105"/>
      <x:c r="C58" s="105"/>
      <x:c r="D58" s="105"/>
      <x:c r="E58" s="105"/>
      <x:c r="F58" s="105"/>
      <x:c r="G58" s="105"/>
      <x:c r="H58" s="105"/>
      <x:c r="I58" s="105"/>
      <x:c r="J58" s="105"/>
      <x:c r="K58" s="105"/>
      <x:c r="L58" s="105"/>
      <x:c r="M58" s="105"/>
      <x:c r="N58" s="105"/>
      <x:c r="O58" s="105"/>
      <x:c r="P58" s="105"/>
      <x:c r="Q58" s="105"/>
      <x:c r="R58" s="105"/>
      <x:c r="S58" s="105"/>
      <x:c r="T58" s="105"/>
      <x:c r="U58" s="105"/>
    </x:row>
    <x:row r="59">
      <x:c r="A59" s="105"/>
      <x:c r="B59" s="105"/>
      <x:c r="C59" s="105"/>
      <x:c r="D59" s="105"/>
      <x:c r="E59" s="105"/>
      <x:c r="F59" s="105"/>
      <x:c r="G59" s="105"/>
      <x:c r="H59" s="105"/>
      <x:c r="I59" s="105"/>
      <x:c r="J59" s="105"/>
      <x:c r="K59" s="105"/>
      <x:c r="L59" s="105"/>
      <x:c r="M59" s="105"/>
      <x:c r="N59" s="105"/>
      <x:c r="O59" s="105"/>
      <x:c r="P59" s="105"/>
      <x:c r="Q59" s="105"/>
      <x:c r="R59" s="105"/>
      <x:c r="S59" s="105"/>
      <x:c r="T59" s="105"/>
      <x:c r="U59" s="105"/>
    </x:row>
    <x:row r="60">
      <x:c r="A60" s="105"/>
      <x:c r="B60" s="105"/>
      <x:c r="C60" s="105"/>
      <x:c r="D60" s="105"/>
      <x:c r="E60" s="105"/>
      <x:c r="F60" s="105"/>
      <x:c r="G60" s="105"/>
      <x:c r="H60" s="105"/>
      <x:c r="I60" s="105"/>
      <x:c r="J60" s="105"/>
      <x:c r="K60" s="105"/>
      <x:c r="L60" s="105"/>
      <x:c r="M60" s="105"/>
      <x:c r="N60" s="105"/>
      <x:c r="O60" s="105"/>
      <x:c r="P60" s="105"/>
      <x:c r="Q60" s="105"/>
      <x:c r="R60" s="105"/>
      <x:c r="S60" s="105"/>
      <x:c r="T60" s="105"/>
      <x:c r="U60" s="105"/>
    </x:row>
    <x:row r="61">
      <x:c r="A61" s="105"/>
      <x:c r="B61" s="105"/>
      <x:c r="C61" s="105"/>
      <x:c r="D61" s="105"/>
      <x:c r="E61" s="105"/>
      <x:c r="F61" s="105"/>
      <x:c r="G61" s="105"/>
      <x:c r="H61" s="105"/>
      <x:c r="I61" s="105"/>
      <x:c r="J61" s="105"/>
      <x:c r="K61" s="105"/>
      <x:c r="L61" s="105"/>
      <x:c r="M61" s="105"/>
      <x:c r="N61" s="105"/>
      <x:c r="O61" s="105"/>
      <x:c r="P61" s="105"/>
      <x:c r="Q61" s="105"/>
      <x:c r="R61" s="105"/>
      <x:c r="S61" s="105"/>
      <x:c r="T61" s="105"/>
      <x:c r="U61" s="105"/>
    </x:row>
    <x:row r="62">
      <x:c r="A62" s="105"/>
      <x:c r="B62" s="105"/>
      <x:c r="C62" s="105"/>
      <x:c r="D62" s="105"/>
      <x:c r="E62" s="105"/>
      <x:c r="F62" s="105"/>
      <x:c r="G62" s="105"/>
      <x:c r="H62" s="105"/>
      <x:c r="I62" s="105"/>
      <x:c r="J62" s="105"/>
      <x:c r="K62" s="105"/>
      <x:c r="L62" s="105"/>
      <x:c r="M62" s="105"/>
      <x:c r="N62" s="105"/>
      <x:c r="O62" s="105"/>
      <x:c r="P62" s="105"/>
      <x:c r="Q62" s="105"/>
      <x:c r="R62" s="105"/>
      <x:c r="S62" s="105"/>
      <x:c r="T62" s="105"/>
      <x:c r="U62" s="105"/>
    </x:row>
    <x:row r="63">
      <x:c r="A63" s="105"/>
      <x:c r="B63" s="105"/>
      <x:c r="C63" s="105"/>
      <x:c r="D63" s="105"/>
      <x:c r="E63" s="105"/>
      <x:c r="F63" s="105"/>
      <x:c r="G63" s="105"/>
      <x:c r="H63" s="105"/>
      <x:c r="I63" s="105"/>
      <x:c r="J63" s="105"/>
      <x:c r="K63" s="105"/>
      <x:c r="L63" s="105"/>
      <x:c r="M63" s="105"/>
      <x:c r="N63" s="105"/>
      <x:c r="O63" s="105"/>
      <x:c r="P63" s="105"/>
      <x:c r="Q63" s="105"/>
      <x:c r="R63" s="105"/>
      <x:c r="S63" s="105"/>
      <x:c r="T63" s="105"/>
      <x:c r="U63" s="105"/>
    </x:row>
    <x:row r="64">
      <x:c r="A64" s="105"/>
      <x:c r="B64" s="105"/>
      <x:c r="C64" s="105"/>
      <x:c r="D64" s="105"/>
      <x:c r="E64" s="105"/>
      <x:c r="F64" s="105"/>
      <x:c r="G64" s="105"/>
      <x:c r="H64" s="105"/>
      <x:c r="I64" s="105"/>
      <x:c r="J64" s="105"/>
      <x:c r="K64" s="105"/>
      <x:c r="L64" s="105"/>
      <x:c r="M64" s="105"/>
      <x:c r="N64" s="105"/>
      <x:c r="O64" s="105"/>
      <x:c r="P64" s="105"/>
      <x:c r="Q64" s="105"/>
      <x:c r="R64" s="105"/>
      <x:c r="S64" s="105"/>
      <x:c r="T64" s="105"/>
      <x:c r="U64" s="105"/>
    </x:row>
    <x:row r="65">
      <x:c r="A65" s="105"/>
      <x:c r="B65" s="105"/>
      <x:c r="C65" s="105"/>
      <x:c r="D65" s="105"/>
      <x:c r="E65" s="105"/>
      <x:c r="F65" s="105"/>
      <x:c r="G65" s="105"/>
      <x:c r="H65" s="105"/>
      <x:c r="I65" s="105"/>
      <x:c r="J65" s="105"/>
      <x:c r="K65" s="105"/>
      <x:c r="L65" s="105"/>
      <x:c r="M65" s="105"/>
      <x:c r="N65" s="105"/>
      <x:c r="O65" s="105"/>
      <x:c r="P65" s="105"/>
      <x:c r="Q65" s="105"/>
      <x:c r="R65" s="105"/>
      <x:c r="S65" s="105"/>
      <x:c r="T65" s="105"/>
      <x:c r="U65" s="105"/>
    </x:row>
    <x:row r="66">
      <x:c r="A66" s="105"/>
      <x:c r="B66" s="105"/>
      <x:c r="C66" s="105"/>
      <x:c r="D66" s="105"/>
      <x:c r="E66" s="105"/>
      <x:c r="F66" s="105"/>
      <x:c r="G66" s="105"/>
      <x:c r="H66" s="105"/>
      <x:c r="I66" s="105"/>
      <x:c r="J66" s="105"/>
      <x:c r="K66" s="105"/>
      <x:c r="L66" s="105"/>
      <x:c r="M66" s="105"/>
      <x:c r="N66" s="105"/>
      <x:c r="O66" s="105"/>
      <x:c r="P66" s="105"/>
      <x:c r="Q66" s="105"/>
      <x:c r="R66" s="105"/>
      <x:c r="S66" s="105"/>
      <x:c r="T66" s="105"/>
      <x:c r="U66" s="105"/>
    </x:row>
    <x:row r="67">
      <x:c r="A67" s="105"/>
      <x:c r="B67" s="105"/>
      <x:c r="C67" s="105"/>
      <x:c r="D67" s="105"/>
      <x:c r="E67" s="105"/>
      <x:c r="F67" s="105"/>
      <x:c r="G67" s="105"/>
      <x:c r="H67" s="105"/>
      <x:c r="I67" s="105"/>
      <x:c r="J67" s="105"/>
      <x:c r="K67" s="105"/>
      <x:c r="L67" s="105"/>
      <x:c r="M67" s="105"/>
      <x:c r="N67" s="105"/>
      <x:c r="O67" s="105"/>
      <x:c r="P67" s="105"/>
      <x:c r="Q67" s="105"/>
      <x:c r="R67" s="105"/>
      <x:c r="S67" s="105"/>
      <x:c r="T67" s="105"/>
      <x:c r="U67" s="105"/>
    </x:row>
    <x:row r="68">
      <x:c r="A68" s="105"/>
      <x:c r="B68" s="105"/>
      <x:c r="C68" s="105"/>
      <x:c r="D68" s="105"/>
      <x:c r="E68" s="105"/>
      <x:c r="F68" s="105"/>
      <x:c r="G68" s="105"/>
      <x:c r="H68" s="105"/>
      <x:c r="I68" s="105"/>
      <x:c r="J68" s="105"/>
      <x:c r="K68" s="105"/>
      <x:c r="L68" s="105"/>
      <x:c r="M68" s="105"/>
      <x:c r="N68" s="105"/>
      <x:c r="O68" s="105"/>
      <x:c r="P68" s="105"/>
      <x:c r="Q68" s="105"/>
      <x:c r="R68" s="105"/>
      <x:c r="S68" s="105"/>
      <x:c r="T68" s="105"/>
      <x:c r="U68" s="105"/>
    </x:row>
    <x:row r="69">
      <x:c r="A69" s="105"/>
      <x:c r="B69" s="105"/>
      <x:c r="C69" s="105"/>
      <x:c r="D69" s="105"/>
      <x:c r="E69" s="105"/>
      <x:c r="F69" s="105"/>
      <x:c r="G69" s="105"/>
      <x:c r="H69" s="105"/>
      <x:c r="I69" s="105"/>
      <x:c r="J69" s="105"/>
      <x:c r="K69" s="105"/>
      <x:c r="L69" s="105"/>
      <x:c r="M69" s="105"/>
      <x:c r="N69" s="105"/>
      <x:c r="O69" s="105"/>
      <x:c r="P69" s="105"/>
      <x:c r="Q69" s="105"/>
      <x:c r="R69" s="105"/>
      <x:c r="S69" s="105"/>
      <x:c r="T69" s="105"/>
      <x:c r="U69" s="105"/>
    </x:row>
    <x:row r="70">
      <x:c r="A70" s="105"/>
      <x:c r="B70" s="105"/>
      <x:c r="C70" s="105"/>
      <x:c r="D70" s="105"/>
      <x:c r="E70" s="105"/>
      <x:c r="F70" s="105"/>
      <x:c r="G70" s="105"/>
      <x:c r="H70" s="105"/>
      <x:c r="I70" s="105"/>
      <x:c r="J70" s="105"/>
      <x:c r="K70" s="105"/>
      <x:c r="L70" s="105"/>
      <x:c r="M70" s="105"/>
      <x:c r="N70" s="105"/>
      <x:c r="O70" s="105"/>
      <x:c r="P70" s="105"/>
      <x:c r="Q70" s="105"/>
      <x:c r="R70" s="105"/>
      <x:c r="S70" s="105"/>
      <x:c r="T70" s="105"/>
      <x:c r="U70" s="105"/>
    </x:row>
    <x:row r="71">
      <x:c r="A71" s="105"/>
      <x:c r="B71" s="105"/>
      <x:c r="C71" s="105"/>
      <x:c r="D71" s="105"/>
      <x:c r="E71" s="105"/>
      <x:c r="F71" s="105"/>
      <x:c r="G71" s="105"/>
      <x:c r="H71" s="105"/>
      <x:c r="I71" s="105"/>
      <x:c r="J71" s="105"/>
      <x:c r="K71" s="105"/>
      <x:c r="L71" s="105"/>
      <x:c r="M71" s="105"/>
      <x:c r="N71" s="105"/>
      <x:c r="O71" s="105"/>
      <x:c r="P71" s="105"/>
      <x:c r="Q71" s="105"/>
      <x:c r="R71" s="105"/>
      <x:c r="S71" s="105"/>
      <x:c r="T71" s="105"/>
      <x:c r="U71" s="105"/>
    </x:row>
    <x:row r="72">
      <x:c r="A72" s="105"/>
      <x:c r="B72" s="105"/>
      <x:c r="C72" s="105"/>
      <x:c r="D72" s="105"/>
      <x:c r="E72" s="105"/>
      <x:c r="F72" s="105"/>
      <x:c r="G72" s="105"/>
      <x:c r="H72" s="105"/>
      <x:c r="I72" s="105"/>
      <x:c r="J72" s="105"/>
      <x:c r="K72" s="105"/>
      <x:c r="L72" s="105"/>
      <x:c r="M72" s="105"/>
      <x:c r="N72" s="105"/>
      <x:c r="O72" s="105"/>
      <x:c r="P72" s="105"/>
      <x:c r="Q72" s="105"/>
      <x:c r="R72" s="105"/>
      <x:c r="S72" s="105"/>
      <x:c r="T72" s="105"/>
      <x:c r="U72" s="105"/>
    </x:row>
    <x:row r="73">
      <x:c r="A73" s="105"/>
      <x:c r="B73" s="105"/>
      <x:c r="C73" s="105"/>
      <x:c r="D73" s="105"/>
      <x:c r="E73" s="105"/>
      <x:c r="F73" s="105"/>
      <x:c r="G73" s="105"/>
      <x:c r="H73" s="105"/>
      <x:c r="I73" s="105"/>
      <x:c r="J73" s="105"/>
      <x:c r="K73" s="105"/>
      <x:c r="L73" s="105"/>
      <x:c r="M73" s="105"/>
      <x:c r="N73" s="105"/>
      <x:c r="O73" s="105"/>
      <x:c r="P73" s="105"/>
      <x:c r="Q73" s="105"/>
      <x:c r="R73" s="105"/>
      <x:c r="S73" s="105"/>
      <x:c r="T73" s="105"/>
      <x:c r="U73" s="105"/>
    </x:row>
    <x:row r="74">
      <x:c r="A74" s="105"/>
      <x:c r="B74" s="105"/>
      <x:c r="C74" s="105"/>
      <x:c r="D74" s="105"/>
      <x:c r="E74" s="105"/>
      <x:c r="F74" s="105"/>
      <x:c r="G74" s="105"/>
      <x:c r="H74" s="105"/>
      <x:c r="I74" s="105"/>
      <x:c r="J74" s="105"/>
      <x:c r="K74" s="105"/>
      <x:c r="L74" s="105"/>
      <x:c r="M74" s="105"/>
      <x:c r="N74" s="105"/>
      <x:c r="O74" s="105"/>
      <x:c r="P74" s="105"/>
      <x:c r="Q74" s="105"/>
      <x:c r="R74" s="105"/>
      <x:c r="S74" s="105"/>
      <x:c r="T74" s="105"/>
      <x:c r="U74" s="105"/>
    </x:row>
    <x:row r="75">
      <x:c r="A75" s="105"/>
      <x:c r="B75" s="105"/>
      <x:c r="C75" s="105"/>
      <x:c r="D75" s="105"/>
      <x:c r="E75" s="105"/>
      <x:c r="F75" s="105"/>
      <x:c r="G75" s="105"/>
      <x:c r="H75" s="105"/>
      <x:c r="I75" s="105"/>
      <x:c r="J75" s="105"/>
      <x:c r="K75" s="105"/>
      <x:c r="L75" s="105"/>
      <x:c r="M75" s="105"/>
      <x:c r="N75" s="105"/>
      <x:c r="O75" s="105"/>
      <x:c r="P75" s="105"/>
      <x:c r="Q75" s="105"/>
      <x:c r="R75" s="105"/>
      <x:c r="S75" s="105"/>
      <x:c r="T75" s="105"/>
      <x:c r="U75" s="105"/>
    </x:row>
    <x:row r="76">
      <x:c r="A76" s="105"/>
      <x:c r="B76" s="105"/>
      <x:c r="C76" s="105"/>
      <x:c r="D76" s="105"/>
      <x:c r="E76" s="105"/>
      <x:c r="F76" s="105"/>
      <x:c r="G76" s="105"/>
      <x:c r="H76" s="105"/>
      <x:c r="I76" s="105"/>
      <x:c r="J76" s="105"/>
      <x:c r="K76" s="105"/>
      <x:c r="L76" s="105"/>
      <x:c r="M76" s="105"/>
      <x:c r="N76" s="105"/>
      <x:c r="O76" s="105"/>
      <x:c r="P76" s="105"/>
      <x:c r="Q76" s="105"/>
      <x:c r="R76" s="105"/>
      <x:c r="S76" s="105"/>
      <x:c r="T76" s="105"/>
      <x:c r="U76" s="105"/>
    </x:row>
    <x:row r="77">
      <x:c r="A77" s="105"/>
      <x:c r="B77" s="105"/>
      <x:c r="C77" s="105"/>
      <x:c r="D77" s="105"/>
      <x:c r="E77" s="105"/>
      <x:c r="F77" s="105"/>
      <x:c r="G77" s="105"/>
      <x:c r="H77" s="105"/>
      <x:c r="I77" s="105"/>
      <x:c r="J77" s="105"/>
      <x:c r="K77" s="105"/>
      <x:c r="L77" s="105"/>
      <x:c r="M77" s="105"/>
      <x:c r="N77" s="105"/>
      <x:c r="O77" s="105"/>
      <x:c r="P77" s="105"/>
      <x:c r="Q77" s="105"/>
      <x:c r="R77" s="105"/>
      <x:c r="S77" s="105"/>
      <x:c r="T77" s="105"/>
      <x:c r="U77" s="105"/>
    </x:row>
    <x:row r="78">
      <x:c r="A78" s="105"/>
      <x:c r="B78" s="105"/>
      <x:c r="C78" s="105"/>
      <x:c r="D78" s="105"/>
      <x:c r="E78" s="105"/>
      <x:c r="F78" s="105"/>
      <x:c r="G78" s="105"/>
      <x:c r="H78" s="105"/>
      <x:c r="I78" s="105"/>
      <x:c r="J78" s="105"/>
      <x:c r="K78" s="105"/>
      <x:c r="L78" s="105"/>
      <x:c r="M78" s="105"/>
      <x:c r="N78" s="105"/>
      <x:c r="O78" s="105"/>
      <x:c r="P78" s="105"/>
      <x:c r="Q78" s="105"/>
      <x:c r="R78" s="105"/>
      <x:c r="S78" s="105"/>
      <x:c r="T78" s="105"/>
      <x:c r="U78" s="105"/>
    </x:row>
    <x:row r="79">
      <x:c r="A79" s="105"/>
      <x:c r="B79" s="105"/>
      <x:c r="C79" s="105"/>
      <x:c r="D79" s="105"/>
      <x:c r="E79" s="105"/>
      <x:c r="F79" s="105"/>
      <x:c r="G79" s="105"/>
      <x:c r="H79" s="105"/>
      <x:c r="I79" s="105"/>
      <x:c r="J79" s="105"/>
      <x:c r="K79" s="105"/>
      <x:c r="L79" s="105"/>
      <x:c r="M79" s="105"/>
      <x:c r="N79" s="105"/>
      <x:c r="O79" s="105"/>
      <x:c r="P79" s="105"/>
      <x:c r="Q79" s="105"/>
      <x:c r="R79" s="105"/>
      <x:c r="S79" s="105"/>
      <x:c r="T79" s="105"/>
      <x:c r="U79" s="105"/>
    </x:row>
    <x:row r="80">
      <x:c r="A80" s="105"/>
      <x:c r="B80" s="105"/>
      <x:c r="C80" s="105"/>
      <x:c r="D80" s="105"/>
      <x:c r="E80" s="105"/>
      <x:c r="F80" s="105"/>
      <x:c r="G80" s="105"/>
      <x:c r="H80" s="105"/>
      <x:c r="I80" s="105"/>
      <x:c r="J80" s="105"/>
      <x:c r="K80" s="105"/>
      <x:c r="L80" s="105"/>
      <x:c r="M80" s="105"/>
      <x:c r="N80" s="105"/>
      <x:c r="O80" s="105"/>
      <x:c r="P80" s="105"/>
      <x:c r="Q80" s="105"/>
      <x:c r="R80" s="105"/>
      <x:c r="S80" s="105"/>
      <x:c r="T80" s="105"/>
      <x:c r="U80" s="10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104" t="str">
        <x:v>Upgrade Stage</x:v>
      </x:c>
      <x:c r="B1" s="104" t="str">
        <x:v>Output Multiplier</x:v>
      </x:c>
      <x:c r="C1" s="104" t="str">
        <x:v>Increment vs Prior</x:v>
      </x:c>
      <x:c r="D1" s="104" t="str">
        <x:v>Payback Target Days</x:v>
      </x:c>
      <x:c r="E1" s="104" t="str">
        <x:v>Cost Formula</x:v>
      </x:c>
      <x:c r="F1" s="104" t="str">
        <x:v>Balance Purpose</x:v>
      </x:c>
      <x:c r="G1" s="104" t="str">
        <x:v>Player Experience</x:v>
      </x:c>
      <x:c r="H1" s="105"/>
      <x:c r="I1" s="105"/>
      <x:c r="J1" s="105"/>
      <x:c r="K1" s="105"/>
      <x:c r="L1" s="105"/>
      <x:c r="M1" s="105"/>
      <x:c r="N1" s="105"/>
      <x:c r="O1" s="105"/>
      <x:c r="P1" s="105"/>
      <x:c r="Q1" s="105"/>
      <x:c r="R1" s="105"/>
      <x:c r="S1" s="105"/>
      <x:c r="T1" s="105"/>
      <x:c r="U1" s="105"/>
    </x:row>
    <x:row r="2">
      <x:c r="A2" s="105" t="n">
        <x:v>1</x:v>
      </x:c>
      <x:c r="B2" s="131" t="n">
        <x:v>1</x:v>
      </x:c>
      <x:c r="C2" s="131" t="n">
        <x:v>0</x:v>
      </x:c>
      <x:c r="D2" s="129" t="n">
        <x:v>0</x:v>
      </x:c>
      <x:c r="E2" s="105" t="str">
        <x:v>Base</x:v>
      </x:c>
      <x:c r="F2" s="105" t="str">
        <x:v>Entry state</x:v>
      </x:c>
      <x:c r="G2" s="105" t="str">
        <x:v>Immediate placement</x:v>
      </x:c>
      <x:c r="H2" s="105"/>
      <x:c r="I2" s="105"/>
      <x:c r="J2" s="105"/>
      <x:c r="K2" s="105"/>
      <x:c r="L2" s="105"/>
      <x:c r="M2" s="105"/>
      <x:c r="N2" s="105"/>
      <x:c r="O2" s="105"/>
      <x:c r="P2" s="105"/>
      <x:c r="Q2" s="105"/>
      <x:c r="R2" s="105"/>
      <x:c r="S2" s="105"/>
      <x:c r="T2" s="105"/>
      <x:c r="U2" s="105"/>
    </x:row>
    <x:row r="3">
      <x:c r="A3" s="105" t="n">
        <x:v>2</x:v>
      </x:c>
      <x:c r="B3" s="131" t="n">
        <x:v>1.35</x:v>
      </x:c>
      <x:c r="C3" s="131" t="n">
        <x:v>0.35</x:v>
      </x:c>
      <x:c r="D3" s="129" t="n">
        <x:v>5</x:v>
      </x:c>
      <x:c r="E3" s="105" t="str">
        <x:v>Incremental daily output × payback target</x:v>
      </x:c>
      <x:c r="F3" s="105" t="str">
        <x:v>First meaningful scale-up</x:v>
      </x:c>
      <x:c r="G3" s="105" t="str">
        <x:v>Fast enough to feel reachable</x:v>
      </x:c>
      <x:c r="H3" s="105"/>
      <x:c r="I3" s="105"/>
      <x:c r="J3" s="105"/>
      <x:c r="K3" s="105"/>
      <x:c r="L3" s="105"/>
      <x:c r="M3" s="105"/>
      <x:c r="N3" s="105"/>
      <x:c r="O3" s="105"/>
      <x:c r="P3" s="105"/>
      <x:c r="Q3" s="105"/>
      <x:c r="R3" s="105"/>
      <x:c r="S3" s="105"/>
      <x:c r="T3" s="105"/>
      <x:c r="U3" s="105"/>
    </x:row>
    <x:row r="4">
      <x:c r="A4" s="105" t="n">
        <x:v>3</x:v>
      </x:c>
      <x:c r="B4" s="131" t="n">
        <x:v>1.8</x:v>
      </x:c>
      <x:c r="C4" s="131" t="n">
        <x:v>0.45</x:v>
      </x:c>
      <x:c r="D4" s="129" t="n">
        <x:v>8</x:v>
      </x:c>
      <x:c r="E4" s="105" t="str">
        <x:v>Incremental daily output × payback target</x:v>
      </x:c>
      <x:c r="F4" s="105" t="str">
        <x:v>Late-stage compounding</x:v>
      </x:c>
      <x:c r="G4" s="105" t="str">
        <x:v>More deliberate capital allocation</x:v>
      </x:c>
      <x:c r="H4" s="105"/>
      <x:c r="I4" s="105"/>
      <x:c r="J4" s="105"/>
      <x:c r="K4" s="105"/>
      <x:c r="L4" s="105"/>
      <x:c r="M4" s="105"/>
      <x:c r="N4" s="105"/>
      <x:c r="O4" s="105"/>
      <x:c r="P4" s="105"/>
      <x:c r="Q4" s="105"/>
      <x:c r="R4" s="105"/>
      <x:c r="S4" s="105"/>
      <x:c r="T4" s="105"/>
      <x:c r="U4" s="105"/>
    </x:row>
    <x:row r="5">
      <x:c r="A5" s="105"/>
      <x:c r="B5" s="105"/>
      <x:c r="C5" s="105"/>
      <x:c r="D5" s="105"/>
      <x:c r="E5" s="105"/>
      <x:c r="F5" s="105"/>
      <x:c r="G5" s="105"/>
      <x:c r="H5" s="105"/>
      <x:c r="I5" s="105"/>
      <x:c r="J5" s="105"/>
      <x:c r="K5" s="105"/>
      <x:c r="L5" s="105"/>
      <x:c r="M5" s="105"/>
      <x:c r="N5" s="105"/>
      <x:c r="O5" s="105"/>
      <x:c r="P5" s="105"/>
      <x:c r="Q5" s="105"/>
      <x:c r="R5" s="105"/>
      <x:c r="S5" s="105"/>
      <x:c r="T5" s="105"/>
      <x:c r="U5" s="105"/>
    </x:row>
    <x:row r="6">
      <x:c r="A6" s="105"/>
      <x:c r="B6" s="105"/>
      <x:c r="C6" s="105"/>
      <x:c r="D6" s="105"/>
      <x:c r="E6" s="105"/>
      <x:c r="F6" s="105"/>
      <x:c r="G6" s="105"/>
      <x:c r="H6" s="105"/>
      <x:c r="I6" s="105"/>
      <x:c r="J6" s="105"/>
      <x:c r="K6" s="105"/>
      <x:c r="L6" s="105"/>
      <x:c r="M6" s="105"/>
      <x:c r="N6" s="105"/>
      <x:c r="O6" s="105"/>
      <x:c r="P6" s="105"/>
      <x:c r="Q6" s="105"/>
      <x:c r="R6" s="105"/>
      <x:c r="S6" s="105"/>
      <x:c r="T6" s="105"/>
      <x:c r="U6" s="105"/>
    </x:row>
    <x:row r="7">
      <x:c r="A7" s="105"/>
      <x:c r="B7" s="105"/>
      <x:c r="C7" s="105"/>
      <x:c r="D7" s="105"/>
      <x:c r="E7" s="105"/>
      <x:c r="F7" s="105"/>
      <x:c r="G7" s="105"/>
      <x:c r="H7" s="105"/>
      <x:c r="I7" s="105"/>
      <x:c r="J7" s="105"/>
      <x:c r="K7" s="105"/>
      <x:c r="L7" s="105"/>
      <x:c r="M7" s="105"/>
      <x:c r="N7" s="105"/>
      <x:c r="O7" s="105"/>
      <x:c r="P7" s="105"/>
      <x:c r="Q7" s="105"/>
      <x:c r="R7" s="105"/>
      <x:c r="S7" s="105"/>
      <x:c r="T7" s="105"/>
      <x:c r="U7" s="105"/>
    </x:row>
    <x:row r="8">
      <x:c r="A8" s="105"/>
      <x:c r="B8" s="105"/>
      <x:c r="C8" s="105"/>
      <x:c r="D8" s="105"/>
      <x:c r="E8" s="105"/>
      <x:c r="F8" s="105"/>
      <x:c r="G8" s="105"/>
      <x:c r="H8" s="105"/>
      <x:c r="I8" s="105"/>
      <x:c r="J8" s="105"/>
      <x:c r="K8" s="105"/>
      <x:c r="L8" s="105"/>
      <x:c r="M8" s="105"/>
      <x:c r="N8" s="105"/>
      <x:c r="O8" s="105"/>
      <x:c r="P8" s="105"/>
      <x:c r="Q8" s="105"/>
      <x:c r="R8" s="105"/>
      <x:c r="S8" s="105"/>
      <x:c r="T8" s="105"/>
      <x:c r="U8" s="105"/>
    </x:row>
    <x:row r="9">
      <x:c r="A9" s="105"/>
      <x:c r="B9" s="105"/>
      <x:c r="C9" s="105"/>
      <x:c r="D9" s="105"/>
      <x:c r="E9" s="105"/>
      <x:c r="F9" s="105"/>
      <x:c r="G9" s="105"/>
      <x:c r="H9" s="105"/>
      <x:c r="I9" s="105"/>
      <x:c r="J9" s="105"/>
      <x:c r="K9" s="105"/>
      <x:c r="L9" s="105"/>
      <x:c r="M9" s="105"/>
      <x:c r="N9" s="105"/>
      <x:c r="O9" s="105"/>
      <x:c r="P9" s="105"/>
      <x:c r="Q9" s="105"/>
      <x:c r="R9" s="105"/>
      <x:c r="S9" s="105"/>
      <x:c r="T9" s="105"/>
      <x:c r="U9" s="105"/>
    </x:row>
    <x:row r="10">
      <x:c r="A10" s="105"/>
      <x:c r="B10" s="105"/>
      <x:c r="C10" s="105"/>
      <x:c r="D10" s="105"/>
      <x:c r="E10" s="105"/>
      <x:c r="F10" s="105"/>
      <x:c r="G10" s="105"/>
      <x:c r="H10" s="105"/>
      <x:c r="I10" s="105"/>
      <x:c r="J10" s="105"/>
      <x:c r="K10" s="105"/>
      <x:c r="L10" s="105"/>
      <x:c r="M10" s="105"/>
      <x:c r="N10" s="105"/>
      <x:c r="O10" s="105"/>
      <x:c r="P10" s="105"/>
      <x:c r="Q10" s="105"/>
      <x:c r="R10" s="105"/>
      <x:c r="S10" s="105"/>
      <x:c r="T10" s="105"/>
      <x:c r="U10" s="105"/>
    </x:row>
    <x:row r="11">
      <x:c r="A11" s="105"/>
      <x:c r="B11" s="105"/>
      <x:c r="C11" s="105"/>
      <x:c r="D11" s="105"/>
      <x:c r="E11" s="105"/>
      <x:c r="F11" s="105"/>
      <x:c r="G11" s="105"/>
      <x:c r="H11" s="105"/>
      <x:c r="I11" s="105"/>
      <x:c r="J11" s="105"/>
      <x:c r="K11" s="105"/>
      <x:c r="L11" s="105"/>
      <x:c r="M11" s="105"/>
      <x:c r="N11" s="105"/>
      <x:c r="O11" s="105"/>
      <x:c r="P11" s="105"/>
      <x:c r="Q11" s="105"/>
      <x:c r="R11" s="105"/>
      <x:c r="S11" s="105"/>
      <x:c r="T11" s="105"/>
      <x:c r="U11" s="105"/>
    </x:row>
    <x:row r="12">
      <x:c r="A12" s="105"/>
      <x:c r="B12" s="105"/>
      <x:c r="C12" s="105"/>
      <x:c r="D12" s="105"/>
      <x:c r="E12" s="105"/>
      <x:c r="F12" s="105"/>
      <x:c r="G12" s="105"/>
      <x:c r="H12" s="105"/>
      <x:c r="I12" s="105"/>
      <x:c r="J12" s="105"/>
      <x:c r="K12" s="105"/>
      <x:c r="L12" s="105"/>
      <x:c r="M12" s="105"/>
      <x:c r="N12" s="105"/>
      <x:c r="O12" s="105"/>
      <x:c r="P12" s="105"/>
      <x:c r="Q12" s="105"/>
      <x:c r="R12" s="105"/>
      <x:c r="S12" s="105"/>
      <x:c r="T12" s="105"/>
      <x:c r="U12" s="105"/>
    </x:row>
    <x:row r="13">
      <x:c r="A13" s="105"/>
      <x:c r="B13" s="105"/>
      <x:c r="C13" s="105"/>
      <x:c r="D13" s="105"/>
      <x:c r="E13" s="105"/>
      <x:c r="F13" s="105"/>
      <x:c r="G13" s="105"/>
      <x:c r="H13" s="105"/>
      <x:c r="I13" s="105"/>
      <x:c r="J13" s="105"/>
      <x:c r="K13" s="105"/>
      <x:c r="L13" s="105"/>
      <x:c r="M13" s="105"/>
      <x:c r="N13" s="105"/>
      <x:c r="O13" s="105"/>
      <x:c r="P13" s="105"/>
      <x:c r="Q13" s="105"/>
      <x:c r="R13" s="105"/>
      <x:c r="S13" s="105"/>
      <x:c r="T13" s="105"/>
      <x:c r="U13" s="105"/>
    </x:row>
    <x:row r="14">
      <x:c r="A14" s="105"/>
      <x:c r="B14" s="105"/>
      <x:c r="C14" s="105"/>
      <x:c r="D14" s="105"/>
      <x:c r="E14" s="105"/>
      <x:c r="F14" s="105"/>
      <x:c r="G14" s="105"/>
      <x:c r="H14" s="105"/>
      <x:c r="I14" s="105"/>
      <x:c r="J14" s="105"/>
      <x:c r="K14" s="105"/>
      <x:c r="L14" s="105"/>
      <x:c r="M14" s="105"/>
      <x:c r="N14" s="105"/>
      <x:c r="O14" s="105"/>
      <x:c r="P14" s="105"/>
      <x:c r="Q14" s="105"/>
      <x:c r="R14" s="105"/>
      <x:c r="S14" s="105"/>
      <x:c r="T14" s="105"/>
      <x:c r="U14" s="105"/>
    </x:row>
    <x:row r="15">
      <x:c r="A15" s="105"/>
      <x:c r="B15" s="105"/>
      <x:c r="C15" s="105"/>
      <x:c r="D15" s="105"/>
      <x:c r="E15" s="105"/>
      <x:c r="F15" s="105"/>
      <x:c r="G15" s="105"/>
      <x:c r="H15" s="105"/>
      <x:c r="I15" s="105"/>
      <x:c r="J15" s="105"/>
      <x:c r="K15" s="105"/>
      <x:c r="L15" s="105"/>
      <x:c r="M15" s="105"/>
      <x:c r="N15" s="105"/>
      <x:c r="O15" s="105"/>
      <x:c r="P15" s="105"/>
      <x:c r="Q15" s="105"/>
      <x:c r="R15" s="105"/>
      <x:c r="S15" s="105"/>
      <x:c r="T15" s="105"/>
      <x:c r="U15" s="105"/>
    </x:row>
    <x:row r="16">
      <x:c r="A16" s="105"/>
      <x:c r="B16" s="105"/>
      <x:c r="C16" s="105"/>
      <x:c r="D16" s="105"/>
      <x:c r="E16" s="105"/>
      <x:c r="F16" s="105"/>
      <x:c r="G16" s="105"/>
      <x:c r="H16" s="105"/>
      <x:c r="I16" s="105"/>
      <x:c r="J16" s="105"/>
      <x:c r="K16" s="105"/>
      <x:c r="L16" s="105"/>
      <x:c r="M16" s="105"/>
      <x:c r="N16" s="105"/>
      <x:c r="O16" s="105"/>
      <x:c r="P16" s="105"/>
      <x:c r="Q16" s="105"/>
      <x:c r="R16" s="105"/>
      <x:c r="S16" s="105"/>
      <x:c r="T16" s="105"/>
      <x:c r="U16" s="105"/>
    </x:row>
    <x:row r="17">
      <x:c r="A17" s="105"/>
      <x:c r="B17" s="105"/>
      <x:c r="C17" s="105"/>
      <x:c r="D17" s="105"/>
      <x:c r="E17" s="105"/>
      <x:c r="F17" s="105"/>
      <x:c r="G17" s="105"/>
      <x:c r="H17" s="105"/>
      <x:c r="I17" s="105"/>
      <x:c r="J17" s="105"/>
      <x:c r="K17" s="105"/>
      <x:c r="L17" s="105"/>
      <x:c r="M17" s="105"/>
      <x:c r="N17" s="105"/>
      <x:c r="O17" s="105"/>
      <x:c r="P17" s="105"/>
      <x:c r="Q17" s="105"/>
      <x:c r="R17" s="105"/>
      <x:c r="S17" s="105"/>
      <x:c r="T17" s="105"/>
      <x:c r="U17" s="105"/>
    </x:row>
    <x:row r="18">
      <x:c r="A18" s="105"/>
      <x:c r="B18" s="105"/>
      <x:c r="C18" s="105"/>
      <x:c r="D18" s="105"/>
      <x:c r="E18" s="105"/>
      <x:c r="F18" s="105"/>
      <x:c r="G18" s="105"/>
      <x:c r="H18" s="105"/>
      <x:c r="I18" s="105"/>
      <x:c r="J18" s="105"/>
      <x:c r="K18" s="105"/>
      <x:c r="L18" s="105"/>
      <x:c r="M18" s="105"/>
      <x:c r="N18" s="105"/>
      <x:c r="O18" s="105"/>
      <x:c r="P18" s="105"/>
      <x:c r="Q18" s="105"/>
      <x:c r="R18" s="105"/>
      <x:c r="S18" s="105"/>
      <x:c r="T18" s="105"/>
      <x:c r="U18" s="105"/>
    </x:row>
    <x:row r="19">
      <x:c r="A19" s="105"/>
      <x:c r="B19" s="105"/>
      <x:c r="C19" s="105"/>
      <x:c r="D19" s="105"/>
      <x:c r="E19" s="105"/>
      <x:c r="F19" s="105"/>
      <x:c r="G19" s="105"/>
      <x:c r="H19" s="105"/>
      <x:c r="I19" s="105"/>
      <x:c r="J19" s="105"/>
      <x:c r="K19" s="105"/>
      <x:c r="L19" s="105"/>
      <x:c r="M19" s="105"/>
      <x:c r="N19" s="105"/>
      <x:c r="O19" s="105"/>
      <x:c r="P19" s="105"/>
      <x:c r="Q19" s="105"/>
      <x:c r="R19" s="105"/>
      <x:c r="S19" s="105"/>
      <x:c r="T19" s="105"/>
      <x:c r="U19" s="105"/>
    </x:row>
    <x:row r="20">
      <x:c r="A20" s="105"/>
      <x:c r="B20" s="105"/>
      <x:c r="C20" s="105"/>
      <x:c r="D20" s="105"/>
      <x:c r="E20" s="105"/>
      <x:c r="F20" s="105"/>
      <x:c r="G20" s="105"/>
      <x:c r="H20" s="105"/>
      <x:c r="I20" s="105"/>
      <x:c r="J20" s="105"/>
      <x:c r="K20" s="105"/>
      <x:c r="L20" s="105"/>
      <x:c r="M20" s="105"/>
      <x:c r="N20" s="105"/>
      <x:c r="O20" s="105"/>
      <x:c r="P20" s="105"/>
      <x:c r="Q20" s="105"/>
      <x:c r="R20" s="105"/>
      <x:c r="S20" s="105"/>
      <x:c r="T20" s="105"/>
      <x:c r="U20" s="105"/>
    </x:row>
    <x:row r="21">
      <x:c r="A21" s="105"/>
      <x:c r="B21" s="105"/>
      <x:c r="C21" s="105"/>
      <x:c r="D21" s="105"/>
      <x:c r="E21" s="105"/>
      <x:c r="F21" s="105"/>
      <x:c r="G21" s="105"/>
      <x:c r="H21" s="105"/>
      <x:c r="I21" s="105"/>
      <x:c r="J21" s="105"/>
      <x:c r="K21" s="105"/>
      <x:c r="L21" s="105"/>
      <x:c r="M21" s="105"/>
      <x:c r="N21" s="105"/>
      <x:c r="O21" s="105"/>
      <x:c r="P21" s="105"/>
      <x:c r="Q21" s="105"/>
      <x:c r="R21" s="105"/>
      <x:c r="S21" s="105"/>
      <x:c r="T21" s="105"/>
      <x:c r="U21" s="105"/>
    </x:row>
    <x:row r="22">
      <x:c r="A22" s="105"/>
      <x:c r="B22" s="105"/>
      <x:c r="C22" s="105"/>
      <x:c r="D22" s="105"/>
      <x:c r="E22" s="105"/>
      <x:c r="F22" s="105"/>
      <x:c r="G22" s="105"/>
      <x:c r="H22" s="105"/>
      <x:c r="I22" s="105"/>
      <x:c r="J22" s="105"/>
      <x:c r="K22" s="105"/>
      <x:c r="L22" s="105"/>
      <x:c r="M22" s="105"/>
      <x:c r="N22" s="105"/>
      <x:c r="O22" s="105"/>
      <x:c r="P22" s="105"/>
      <x:c r="Q22" s="105"/>
      <x:c r="R22" s="105"/>
      <x:c r="S22" s="105"/>
      <x:c r="T22" s="105"/>
      <x:c r="U22" s="105"/>
    </x:row>
    <x:row r="23">
      <x:c r="A23" s="105"/>
      <x:c r="B23" s="105"/>
      <x:c r="C23" s="105"/>
      <x:c r="D23" s="105"/>
      <x:c r="E23" s="105"/>
      <x:c r="F23" s="105"/>
      <x:c r="G23" s="105"/>
      <x:c r="H23" s="105"/>
      <x:c r="I23" s="105"/>
      <x:c r="J23" s="105"/>
      <x:c r="K23" s="105"/>
      <x:c r="L23" s="105"/>
      <x:c r="M23" s="105"/>
      <x:c r="N23" s="105"/>
      <x:c r="O23" s="105"/>
      <x:c r="P23" s="105"/>
      <x:c r="Q23" s="105"/>
      <x:c r="R23" s="105"/>
      <x:c r="S23" s="105"/>
      <x:c r="T23" s="105"/>
      <x:c r="U23" s="105"/>
    </x:row>
    <x:row r="24">
      <x:c r="A24" s="105"/>
      <x:c r="B24" s="105"/>
      <x:c r="C24" s="105"/>
      <x:c r="D24" s="105"/>
      <x:c r="E24" s="105"/>
      <x:c r="F24" s="105"/>
      <x:c r="G24" s="105"/>
      <x:c r="H24" s="105"/>
      <x:c r="I24" s="105"/>
      <x:c r="J24" s="105"/>
      <x:c r="K24" s="105"/>
      <x:c r="L24" s="105"/>
      <x:c r="M24" s="105"/>
      <x:c r="N24" s="105"/>
      <x:c r="O24" s="105"/>
      <x:c r="P24" s="105"/>
      <x:c r="Q24" s="105"/>
      <x:c r="R24" s="105"/>
      <x:c r="S24" s="105"/>
      <x:c r="T24" s="105"/>
      <x:c r="U24" s="105"/>
    </x:row>
    <x:row r="25">
      <x:c r="A25" s="105"/>
      <x:c r="B25" s="105"/>
      <x:c r="C25" s="105"/>
      <x:c r="D25" s="105"/>
      <x:c r="E25" s="105"/>
      <x:c r="F25" s="105"/>
      <x:c r="G25" s="105"/>
      <x:c r="H25" s="105"/>
      <x:c r="I25" s="105"/>
      <x:c r="J25" s="105"/>
      <x:c r="K25" s="105"/>
      <x:c r="L25" s="105"/>
      <x:c r="M25" s="105"/>
      <x:c r="N25" s="105"/>
      <x:c r="O25" s="105"/>
      <x:c r="P25" s="105"/>
      <x:c r="Q25" s="105"/>
      <x:c r="R25" s="105"/>
      <x:c r="S25" s="105"/>
      <x:c r="T25" s="105"/>
      <x:c r="U25" s="105"/>
    </x:row>
    <x:row r="26">
      <x:c r="A26" s="105"/>
      <x:c r="B26" s="105"/>
      <x:c r="C26" s="105"/>
      <x:c r="D26" s="105"/>
      <x:c r="E26" s="105"/>
      <x:c r="F26" s="105"/>
      <x:c r="G26" s="105"/>
      <x:c r="H26" s="105"/>
      <x:c r="I26" s="105"/>
      <x:c r="J26" s="105"/>
      <x:c r="K26" s="105"/>
      <x:c r="L26" s="105"/>
      <x:c r="M26" s="105"/>
      <x:c r="N26" s="105"/>
      <x:c r="O26" s="105"/>
      <x:c r="P26" s="105"/>
      <x:c r="Q26" s="105"/>
      <x:c r="R26" s="105"/>
      <x:c r="S26" s="105"/>
      <x:c r="T26" s="105"/>
      <x:c r="U26" s="105"/>
    </x:row>
    <x:row r="27">
      <x:c r="A27" s="105"/>
      <x:c r="B27" s="105"/>
      <x:c r="C27" s="105"/>
      <x:c r="D27" s="105"/>
      <x:c r="E27" s="105"/>
      <x:c r="F27" s="105"/>
      <x:c r="G27" s="105"/>
      <x:c r="H27" s="105"/>
      <x:c r="I27" s="105"/>
      <x:c r="J27" s="105"/>
      <x:c r="K27" s="105"/>
      <x:c r="L27" s="105"/>
      <x:c r="M27" s="105"/>
      <x:c r="N27" s="105"/>
      <x:c r="O27" s="105"/>
      <x:c r="P27" s="105"/>
      <x:c r="Q27" s="105"/>
      <x:c r="R27" s="105"/>
      <x:c r="S27" s="105"/>
      <x:c r="T27" s="105"/>
      <x:c r="U27" s="105"/>
    </x:row>
    <x:row r="28">
      <x:c r="A28" s="105"/>
      <x:c r="B28" s="105"/>
      <x:c r="C28" s="105"/>
      <x:c r="D28" s="105"/>
      <x:c r="E28" s="105"/>
      <x:c r="F28" s="105"/>
      <x:c r="G28" s="105"/>
      <x:c r="H28" s="105"/>
      <x:c r="I28" s="105"/>
      <x:c r="J28" s="105"/>
      <x:c r="K28" s="105"/>
      <x:c r="L28" s="105"/>
      <x:c r="M28" s="105"/>
      <x:c r="N28" s="105"/>
      <x:c r="O28" s="105"/>
      <x:c r="P28" s="105"/>
      <x:c r="Q28" s="105"/>
      <x:c r="R28" s="105"/>
      <x:c r="S28" s="105"/>
      <x:c r="T28" s="105"/>
      <x:c r="U28" s="105"/>
    </x:row>
    <x:row r="29">
      <x:c r="A29" s="105"/>
      <x:c r="B29" s="105"/>
      <x:c r="C29" s="105"/>
      <x:c r="D29" s="105"/>
      <x:c r="E29" s="105"/>
      <x:c r="F29" s="105"/>
      <x:c r="G29" s="105"/>
      <x:c r="H29" s="105"/>
      <x:c r="I29" s="105"/>
      <x:c r="J29" s="105"/>
      <x:c r="K29" s="105"/>
      <x:c r="L29" s="105"/>
      <x:c r="M29" s="105"/>
      <x:c r="N29" s="105"/>
      <x:c r="O29" s="105"/>
      <x:c r="P29" s="105"/>
      <x:c r="Q29" s="105"/>
      <x:c r="R29" s="105"/>
      <x:c r="S29" s="105"/>
      <x:c r="T29" s="105"/>
      <x:c r="U29" s="105"/>
    </x:row>
    <x:row r="30">
      <x:c r="A30" s="105"/>
      <x:c r="B30" s="105"/>
      <x:c r="C30" s="105"/>
      <x:c r="D30" s="105"/>
      <x:c r="E30" s="105"/>
      <x:c r="F30" s="105"/>
      <x:c r="G30" s="105"/>
      <x:c r="H30" s="105"/>
      <x:c r="I30" s="105"/>
      <x:c r="J30" s="105"/>
      <x:c r="K30" s="105"/>
      <x:c r="L30" s="105"/>
      <x:c r="M30" s="105"/>
      <x:c r="N30" s="105"/>
      <x:c r="O30" s="105"/>
      <x:c r="P30" s="105"/>
      <x:c r="Q30" s="105"/>
      <x:c r="R30" s="105"/>
      <x:c r="S30" s="105"/>
      <x:c r="T30" s="105"/>
      <x:c r="U30" s="105"/>
    </x:row>
    <x:row r="31">
      <x:c r="A31" s="105"/>
      <x:c r="B31" s="105"/>
      <x:c r="C31" s="105"/>
      <x:c r="D31" s="105"/>
      <x:c r="E31" s="105"/>
      <x:c r="F31" s="105"/>
      <x:c r="G31" s="105"/>
      <x:c r="H31" s="105"/>
      <x:c r="I31" s="105"/>
      <x:c r="J31" s="105"/>
      <x:c r="K31" s="105"/>
      <x:c r="L31" s="105"/>
      <x:c r="M31" s="105"/>
      <x:c r="N31" s="105"/>
      <x:c r="O31" s="105"/>
      <x:c r="P31" s="105"/>
      <x:c r="Q31" s="105"/>
      <x:c r="R31" s="105"/>
      <x:c r="S31" s="105"/>
      <x:c r="T31" s="105"/>
      <x:c r="U31" s="105"/>
    </x:row>
    <x:row r="32">
      <x:c r="A32" s="105"/>
      <x:c r="B32" s="105"/>
      <x:c r="C32" s="105"/>
      <x:c r="D32" s="105"/>
      <x:c r="E32" s="105"/>
      <x:c r="F32" s="105"/>
      <x:c r="G32" s="105"/>
      <x:c r="H32" s="105"/>
      <x:c r="I32" s="105"/>
      <x:c r="J32" s="105"/>
      <x:c r="K32" s="105"/>
      <x:c r="L32" s="105"/>
      <x:c r="M32" s="105"/>
      <x:c r="N32" s="105"/>
      <x:c r="O32" s="105"/>
      <x:c r="P32" s="105"/>
      <x:c r="Q32" s="105"/>
      <x:c r="R32" s="105"/>
      <x:c r="S32" s="105"/>
      <x:c r="T32" s="105"/>
      <x:c r="U32" s="105"/>
    </x:row>
    <x:row r="33">
      <x:c r="A33" s="105"/>
      <x:c r="B33" s="105"/>
      <x:c r="C33" s="105"/>
      <x:c r="D33" s="105"/>
      <x:c r="E33" s="105"/>
      <x:c r="F33" s="105"/>
      <x:c r="G33" s="105"/>
      <x:c r="H33" s="105"/>
      <x:c r="I33" s="105"/>
      <x:c r="J33" s="105"/>
      <x:c r="K33" s="105"/>
      <x:c r="L33" s="105"/>
      <x:c r="M33" s="105"/>
      <x:c r="N33" s="105"/>
      <x:c r="O33" s="105"/>
      <x:c r="P33" s="105"/>
      <x:c r="Q33" s="105"/>
      <x:c r="R33" s="105"/>
      <x:c r="S33" s="105"/>
      <x:c r="T33" s="105"/>
      <x:c r="U33" s="105"/>
    </x:row>
    <x:row r="34">
      <x:c r="A34" s="105"/>
      <x:c r="B34" s="105"/>
      <x:c r="C34" s="105"/>
      <x:c r="D34" s="105"/>
      <x:c r="E34" s="105"/>
      <x:c r="F34" s="105"/>
      <x:c r="G34" s="105"/>
      <x:c r="H34" s="105"/>
      <x:c r="I34" s="105"/>
      <x:c r="J34" s="105"/>
      <x:c r="K34" s="105"/>
      <x:c r="L34" s="105"/>
      <x:c r="M34" s="105"/>
      <x:c r="N34" s="105"/>
      <x:c r="O34" s="105"/>
      <x:c r="P34" s="105"/>
      <x:c r="Q34" s="105"/>
      <x:c r="R34" s="105"/>
      <x:c r="S34" s="105"/>
      <x:c r="T34" s="105"/>
      <x:c r="U34" s="105"/>
    </x:row>
    <x:row r="35">
      <x:c r="A35" s="105"/>
      <x:c r="B35" s="105"/>
      <x:c r="C35" s="105"/>
      <x:c r="D35" s="105"/>
      <x:c r="E35" s="105"/>
      <x:c r="F35" s="105"/>
      <x:c r="G35" s="105"/>
      <x:c r="H35" s="105"/>
      <x:c r="I35" s="105"/>
      <x:c r="J35" s="105"/>
      <x:c r="K35" s="105"/>
      <x:c r="L35" s="105"/>
      <x:c r="M35" s="105"/>
      <x:c r="N35" s="105"/>
      <x:c r="O35" s="105"/>
      <x:c r="P35" s="105"/>
      <x:c r="Q35" s="105"/>
      <x:c r="R35" s="105"/>
      <x:c r="S35" s="105"/>
      <x:c r="T35" s="105"/>
      <x:c r="U35" s="105"/>
    </x:row>
    <x:row r="36">
      <x:c r="A36" s="105"/>
      <x:c r="B36" s="105"/>
      <x:c r="C36" s="105"/>
      <x:c r="D36" s="105"/>
      <x:c r="E36" s="105"/>
      <x:c r="F36" s="105"/>
      <x:c r="G36" s="105"/>
      <x:c r="H36" s="105"/>
      <x:c r="I36" s="105"/>
      <x:c r="J36" s="105"/>
      <x:c r="K36" s="105"/>
      <x:c r="L36" s="105"/>
      <x:c r="M36" s="105"/>
      <x:c r="N36" s="105"/>
      <x:c r="O36" s="105"/>
      <x:c r="P36" s="105"/>
      <x:c r="Q36" s="105"/>
      <x:c r="R36" s="105"/>
      <x:c r="S36" s="105"/>
      <x:c r="T36" s="105"/>
      <x:c r="U36" s="105"/>
    </x:row>
    <x:row r="37">
      <x:c r="A37" s="105"/>
      <x:c r="B37" s="105"/>
      <x:c r="C37" s="105"/>
      <x:c r="D37" s="105"/>
      <x:c r="E37" s="105"/>
      <x:c r="F37" s="105"/>
      <x:c r="G37" s="105"/>
      <x:c r="H37" s="105"/>
      <x:c r="I37" s="105"/>
      <x:c r="J37" s="105"/>
      <x:c r="K37" s="105"/>
      <x:c r="L37" s="105"/>
      <x:c r="M37" s="105"/>
      <x:c r="N37" s="105"/>
      <x:c r="O37" s="105"/>
      <x:c r="P37" s="105"/>
      <x:c r="Q37" s="105"/>
      <x:c r="R37" s="105"/>
      <x:c r="S37" s="105"/>
      <x:c r="T37" s="105"/>
      <x:c r="U37" s="105"/>
    </x:row>
    <x:row r="38">
      <x:c r="A38" s="105"/>
      <x:c r="B38" s="105"/>
      <x:c r="C38" s="105"/>
      <x:c r="D38" s="105"/>
      <x:c r="E38" s="105"/>
      <x:c r="F38" s="105"/>
      <x:c r="G38" s="105"/>
      <x:c r="H38" s="105"/>
      <x:c r="I38" s="105"/>
      <x:c r="J38" s="105"/>
      <x:c r="K38" s="105"/>
      <x:c r="L38" s="105"/>
      <x:c r="M38" s="105"/>
      <x:c r="N38" s="105"/>
      <x:c r="O38" s="105"/>
      <x:c r="P38" s="105"/>
      <x:c r="Q38" s="105"/>
      <x:c r="R38" s="105"/>
      <x:c r="S38" s="105"/>
      <x:c r="T38" s="105"/>
      <x:c r="U38" s="105"/>
    </x:row>
    <x:row r="39">
      <x:c r="A39" s="105"/>
      <x:c r="B39" s="105"/>
      <x:c r="C39" s="105"/>
      <x:c r="D39" s="105"/>
      <x:c r="E39" s="105"/>
      <x:c r="F39" s="105"/>
      <x:c r="G39" s="105"/>
      <x:c r="H39" s="105"/>
      <x:c r="I39" s="105"/>
      <x:c r="J39" s="105"/>
      <x:c r="K39" s="105"/>
      <x:c r="L39" s="105"/>
      <x:c r="M39" s="105"/>
      <x:c r="N39" s="105"/>
      <x:c r="O39" s="105"/>
      <x:c r="P39" s="105"/>
      <x:c r="Q39" s="105"/>
      <x:c r="R39" s="105"/>
      <x:c r="S39" s="105"/>
      <x:c r="T39" s="105"/>
      <x:c r="U39" s="105"/>
    </x:row>
    <x:row r="40">
      <x:c r="A40" s="105"/>
      <x:c r="B40" s="105"/>
      <x:c r="C40" s="105"/>
      <x:c r="D40" s="105"/>
      <x:c r="E40" s="105"/>
      <x:c r="F40" s="105"/>
      <x:c r="G40" s="105"/>
      <x:c r="H40" s="105"/>
      <x:c r="I40" s="105"/>
      <x:c r="J40" s="105"/>
      <x:c r="K40" s="105"/>
      <x:c r="L40" s="105"/>
      <x:c r="M40" s="105"/>
      <x:c r="N40" s="105"/>
      <x:c r="O40" s="105"/>
      <x:c r="P40" s="105"/>
      <x:c r="Q40" s="105"/>
      <x:c r="R40" s="105"/>
      <x:c r="S40" s="105"/>
      <x:c r="T40" s="105"/>
      <x:c r="U40" s="105"/>
    </x:row>
    <x:row r="41">
      <x:c r="A41" s="105"/>
      <x:c r="B41" s="105"/>
      <x:c r="C41" s="105"/>
      <x:c r="D41" s="105"/>
      <x:c r="E41" s="105"/>
      <x:c r="F41" s="105"/>
      <x:c r="G41" s="105"/>
      <x:c r="H41" s="105"/>
      <x:c r="I41" s="105"/>
      <x:c r="J41" s="105"/>
      <x:c r="K41" s="105"/>
      <x:c r="L41" s="105"/>
      <x:c r="M41" s="105"/>
      <x:c r="N41" s="105"/>
      <x:c r="O41" s="105"/>
      <x:c r="P41" s="105"/>
      <x:c r="Q41" s="105"/>
      <x:c r="R41" s="105"/>
      <x:c r="S41" s="105"/>
      <x:c r="T41" s="105"/>
      <x:c r="U41" s="105"/>
    </x:row>
    <x:row r="42">
      <x:c r="A42" s="105"/>
      <x:c r="B42" s="105"/>
      <x:c r="C42" s="105"/>
      <x:c r="D42" s="105"/>
      <x:c r="E42" s="105"/>
      <x:c r="F42" s="105"/>
      <x:c r="G42" s="105"/>
      <x:c r="H42" s="105"/>
      <x:c r="I42" s="105"/>
      <x:c r="J42" s="105"/>
      <x:c r="K42" s="105"/>
      <x:c r="L42" s="105"/>
      <x:c r="M42" s="105"/>
      <x:c r="N42" s="105"/>
      <x:c r="O42" s="105"/>
      <x:c r="P42" s="105"/>
      <x:c r="Q42" s="105"/>
      <x:c r="R42" s="105"/>
      <x:c r="S42" s="105"/>
      <x:c r="T42" s="105"/>
      <x:c r="U42" s="105"/>
    </x:row>
    <x:row r="43">
      <x:c r="A43" s="105"/>
      <x:c r="B43" s="105"/>
      <x:c r="C43" s="105"/>
      <x:c r="D43" s="105"/>
      <x:c r="E43" s="105"/>
      <x:c r="F43" s="105"/>
      <x:c r="G43" s="105"/>
      <x:c r="H43" s="105"/>
      <x:c r="I43" s="105"/>
      <x:c r="J43" s="105"/>
      <x:c r="K43" s="105"/>
      <x:c r="L43" s="105"/>
      <x:c r="M43" s="105"/>
      <x:c r="N43" s="105"/>
      <x:c r="O43" s="105"/>
      <x:c r="P43" s="105"/>
      <x:c r="Q43" s="105"/>
      <x:c r="R43" s="105"/>
      <x:c r="S43" s="105"/>
      <x:c r="T43" s="105"/>
      <x:c r="U43" s="105"/>
    </x:row>
    <x:row r="44">
      <x:c r="A44" s="105"/>
      <x:c r="B44" s="105"/>
      <x:c r="C44" s="105"/>
      <x:c r="D44" s="105"/>
      <x:c r="E44" s="105"/>
      <x:c r="F44" s="105"/>
      <x:c r="G44" s="105"/>
      <x:c r="H44" s="105"/>
      <x:c r="I44" s="105"/>
      <x:c r="J44" s="105"/>
      <x:c r="K44" s="105"/>
      <x:c r="L44" s="105"/>
      <x:c r="M44" s="105"/>
      <x:c r="N44" s="105"/>
      <x:c r="O44" s="105"/>
      <x:c r="P44" s="105"/>
      <x:c r="Q44" s="105"/>
      <x:c r="R44" s="105"/>
      <x:c r="S44" s="105"/>
      <x:c r="T44" s="105"/>
      <x:c r="U44" s="105"/>
    </x:row>
    <x:row r="45">
      <x:c r="A45" s="105"/>
      <x:c r="B45" s="105"/>
      <x:c r="C45" s="105"/>
      <x:c r="D45" s="105"/>
      <x:c r="E45" s="105"/>
      <x:c r="F45" s="105"/>
      <x:c r="G45" s="105"/>
      <x:c r="H45" s="105"/>
      <x:c r="I45" s="105"/>
      <x:c r="J45" s="105"/>
      <x:c r="K45" s="105"/>
      <x:c r="L45" s="105"/>
      <x:c r="M45" s="105"/>
      <x:c r="N45" s="105"/>
      <x:c r="O45" s="105"/>
      <x:c r="P45" s="105"/>
      <x:c r="Q45" s="105"/>
      <x:c r="R45" s="105"/>
      <x:c r="S45" s="105"/>
      <x:c r="T45" s="105"/>
      <x:c r="U45" s="105"/>
    </x:row>
    <x:row r="46">
      <x:c r="A46" s="105"/>
      <x:c r="B46" s="105"/>
      <x:c r="C46" s="105"/>
      <x:c r="D46" s="105"/>
      <x:c r="E46" s="105"/>
      <x:c r="F46" s="105"/>
      <x:c r="G46" s="105"/>
      <x:c r="H46" s="105"/>
      <x:c r="I46" s="105"/>
      <x:c r="J46" s="105"/>
      <x:c r="K46" s="105"/>
      <x:c r="L46" s="105"/>
      <x:c r="M46" s="105"/>
      <x:c r="N46" s="105"/>
      <x:c r="O46" s="105"/>
      <x:c r="P46" s="105"/>
      <x:c r="Q46" s="105"/>
      <x:c r="R46" s="105"/>
      <x:c r="S46" s="105"/>
      <x:c r="T46" s="105"/>
      <x:c r="U46" s="105"/>
    </x:row>
    <x:row r="47">
      <x:c r="A47" s="105"/>
      <x:c r="B47" s="105"/>
      <x:c r="C47" s="105"/>
      <x:c r="D47" s="105"/>
      <x:c r="E47" s="105"/>
      <x:c r="F47" s="105"/>
      <x:c r="G47" s="105"/>
      <x:c r="H47" s="105"/>
      <x:c r="I47" s="105"/>
      <x:c r="J47" s="105"/>
      <x:c r="K47" s="105"/>
      <x:c r="L47" s="105"/>
      <x:c r="M47" s="105"/>
      <x:c r="N47" s="105"/>
      <x:c r="O47" s="105"/>
      <x:c r="P47" s="105"/>
      <x:c r="Q47" s="105"/>
      <x:c r="R47" s="105"/>
      <x:c r="S47" s="105"/>
      <x:c r="T47" s="105"/>
      <x:c r="U47" s="105"/>
    </x:row>
    <x:row r="48">
      <x:c r="A48" s="105"/>
      <x:c r="B48" s="105"/>
      <x:c r="C48" s="105"/>
      <x:c r="D48" s="105"/>
      <x:c r="E48" s="105"/>
      <x:c r="F48" s="105"/>
      <x:c r="G48" s="105"/>
      <x:c r="H48" s="105"/>
      <x:c r="I48" s="105"/>
      <x:c r="J48" s="105"/>
      <x:c r="K48" s="105"/>
      <x:c r="L48" s="105"/>
      <x:c r="M48" s="105"/>
      <x:c r="N48" s="105"/>
      <x:c r="O48" s="105"/>
      <x:c r="P48" s="105"/>
      <x:c r="Q48" s="105"/>
      <x:c r="R48" s="105"/>
      <x:c r="S48" s="105"/>
      <x:c r="T48" s="105"/>
      <x:c r="U48" s="105"/>
    </x:row>
    <x:row r="49">
      <x:c r="A49" s="105"/>
      <x:c r="B49" s="105"/>
      <x:c r="C49" s="105"/>
      <x:c r="D49" s="105"/>
      <x:c r="E49" s="105"/>
      <x:c r="F49" s="105"/>
      <x:c r="G49" s="105"/>
      <x:c r="H49" s="105"/>
      <x:c r="I49" s="105"/>
      <x:c r="J49" s="105"/>
      <x:c r="K49" s="105"/>
      <x:c r="L49" s="105"/>
      <x:c r="M49" s="105"/>
      <x:c r="N49" s="105"/>
      <x:c r="O49" s="105"/>
      <x:c r="P49" s="105"/>
      <x:c r="Q49" s="105"/>
      <x:c r="R49" s="105"/>
      <x:c r="S49" s="105"/>
      <x:c r="T49" s="105"/>
      <x:c r="U49" s="105"/>
    </x:row>
    <x:row r="50">
      <x:c r="A50" s="105"/>
      <x:c r="B50" s="105"/>
      <x:c r="C50" s="105"/>
      <x:c r="D50" s="105"/>
      <x:c r="E50" s="105"/>
      <x:c r="F50" s="105"/>
      <x:c r="G50" s="105"/>
      <x:c r="H50" s="105"/>
      <x:c r="I50" s="105"/>
      <x:c r="J50" s="105"/>
      <x:c r="K50" s="105"/>
      <x:c r="L50" s="105"/>
      <x:c r="M50" s="105"/>
      <x:c r="N50" s="105"/>
      <x:c r="O50" s="105"/>
      <x:c r="P50" s="105"/>
      <x:c r="Q50" s="105"/>
      <x:c r="R50" s="105"/>
      <x:c r="S50" s="105"/>
      <x:c r="T50" s="105"/>
      <x:c r="U50" s="105"/>
    </x:row>
    <x:row r="51">
      <x:c r="A51" s="105"/>
      <x:c r="B51" s="105"/>
      <x:c r="C51" s="105"/>
      <x:c r="D51" s="105"/>
      <x:c r="E51" s="105"/>
      <x:c r="F51" s="105"/>
      <x:c r="G51" s="105"/>
      <x:c r="H51" s="105"/>
      <x:c r="I51" s="105"/>
      <x:c r="J51" s="105"/>
      <x:c r="K51" s="105"/>
      <x:c r="L51" s="105"/>
      <x:c r="M51" s="105"/>
      <x:c r="N51" s="105"/>
      <x:c r="O51" s="105"/>
      <x:c r="P51" s="105"/>
      <x:c r="Q51" s="105"/>
      <x:c r="R51" s="105"/>
      <x:c r="S51" s="105"/>
      <x:c r="T51" s="105"/>
      <x:c r="U51" s="105"/>
    </x:row>
    <x:row r="52">
      <x:c r="A52" s="105"/>
      <x:c r="B52" s="105"/>
      <x:c r="C52" s="105"/>
      <x:c r="D52" s="105"/>
      <x:c r="E52" s="105"/>
      <x:c r="F52" s="105"/>
      <x:c r="G52" s="105"/>
      <x:c r="H52" s="105"/>
      <x:c r="I52" s="105"/>
      <x:c r="J52" s="105"/>
      <x:c r="K52" s="105"/>
      <x:c r="L52" s="105"/>
      <x:c r="M52" s="105"/>
      <x:c r="N52" s="105"/>
      <x:c r="O52" s="105"/>
      <x:c r="P52" s="105"/>
      <x:c r="Q52" s="105"/>
      <x:c r="R52" s="105"/>
      <x:c r="S52" s="105"/>
      <x:c r="T52" s="105"/>
      <x:c r="U52" s="105"/>
    </x:row>
    <x:row r="53">
      <x:c r="A53" s="105"/>
      <x:c r="B53" s="105"/>
      <x:c r="C53" s="105"/>
      <x:c r="D53" s="105"/>
      <x:c r="E53" s="105"/>
      <x:c r="F53" s="105"/>
      <x:c r="G53" s="105"/>
      <x:c r="H53" s="105"/>
      <x:c r="I53" s="105"/>
      <x:c r="J53" s="105"/>
      <x:c r="K53" s="105"/>
      <x:c r="L53" s="105"/>
      <x:c r="M53" s="105"/>
      <x:c r="N53" s="105"/>
      <x:c r="O53" s="105"/>
      <x:c r="P53" s="105"/>
      <x:c r="Q53" s="105"/>
      <x:c r="R53" s="105"/>
      <x:c r="S53" s="105"/>
      <x:c r="T53" s="105"/>
      <x:c r="U53" s="105"/>
    </x:row>
    <x:row r="54">
      <x:c r="A54" s="105"/>
      <x:c r="B54" s="105"/>
      <x:c r="C54" s="105"/>
      <x:c r="D54" s="105"/>
      <x:c r="E54" s="105"/>
      <x:c r="F54" s="105"/>
      <x:c r="G54" s="105"/>
      <x:c r="H54" s="105"/>
      <x:c r="I54" s="105"/>
      <x:c r="J54" s="105"/>
      <x:c r="K54" s="105"/>
      <x:c r="L54" s="105"/>
      <x:c r="M54" s="105"/>
      <x:c r="N54" s="105"/>
      <x:c r="O54" s="105"/>
      <x:c r="P54" s="105"/>
      <x:c r="Q54" s="105"/>
      <x:c r="R54" s="105"/>
      <x:c r="S54" s="105"/>
      <x:c r="T54" s="105"/>
      <x:c r="U54" s="105"/>
    </x:row>
    <x:row r="55">
      <x:c r="A55" s="105"/>
      <x:c r="B55" s="105"/>
      <x:c r="C55" s="105"/>
      <x:c r="D55" s="105"/>
      <x:c r="E55" s="105"/>
      <x:c r="F55" s="105"/>
      <x:c r="G55" s="105"/>
      <x:c r="H55" s="105"/>
      <x:c r="I55" s="105"/>
      <x:c r="J55" s="105"/>
      <x:c r="K55" s="105"/>
      <x:c r="L55" s="105"/>
      <x:c r="M55" s="105"/>
      <x:c r="N55" s="105"/>
      <x:c r="O55" s="105"/>
      <x:c r="P55" s="105"/>
      <x:c r="Q55" s="105"/>
      <x:c r="R55" s="105"/>
      <x:c r="S55" s="105"/>
      <x:c r="T55" s="105"/>
      <x:c r="U55" s="105"/>
    </x:row>
    <x:row r="56">
      <x:c r="A56" s="105"/>
      <x:c r="B56" s="105"/>
      <x:c r="C56" s="105"/>
      <x:c r="D56" s="105"/>
      <x:c r="E56" s="105"/>
      <x:c r="F56" s="105"/>
      <x:c r="G56" s="105"/>
      <x:c r="H56" s="105"/>
      <x:c r="I56" s="105"/>
      <x:c r="J56" s="105"/>
      <x:c r="K56" s="105"/>
      <x:c r="L56" s="105"/>
      <x:c r="M56" s="105"/>
      <x:c r="N56" s="105"/>
      <x:c r="O56" s="105"/>
      <x:c r="P56" s="105"/>
      <x:c r="Q56" s="105"/>
      <x:c r="R56" s="105"/>
      <x:c r="S56" s="105"/>
      <x:c r="T56" s="105"/>
      <x:c r="U56" s="105"/>
    </x:row>
    <x:row r="57">
      <x:c r="A57" s="105"/>
      <x:c r="B57" s="105"/>
      <x:c r="C57" s="105"/>
      <x:c r="D57" s="105"/>
      <x:c r="E57" s="105"/>
      <x:c r="F57" s="105"/>
      <x:c r="G57" s="105"/>
      <x:c r="H57" s="105"/>
      <x:c r="I57" s="105"/>
      <x:c r="J57" s="105"/>
      <x:c r="K57" s="105"/>
      <x:c r="L57" s="105"/>
      <x:c r="M57" s="105"/>
      <x:c r="N57" s="105"/>
      <x:c r="O57" s="105"/>
      <x:c r="P57" s="105"/>
      <x:c r="Q57" s="105"/>
      <x:c r="R57" s="105"/>
      <x:c r="S57" s="105"/>
      <x:c r="T57" s="105"/>
      <x:c r="U57" s="105"/>
    </x:row>
    <x:row r="58">
      <x:c r="A58" s="105"/>
      <x:c r="B58" s="105"/>
      <x:c r="C58" s="105"/>
      <x:c r="D58" s="105"/>
      <x:c r="E58" s="105"/>
      <x:c r="F58" s="105"/>
      <x:c r="G58" s="105"/>
      <x:c r="H58" s="105"/>
      <x:c r="I58" s="105"/>
      <x:c r="J58" s="105"/>
      <x:c r="K58" s="105"/>
      <x:c r="L58" s="105"/>
      <x:c r="M58" s="105"/>
      <x:c r="N58" s="105"/>
      <x:c r="O58" s="105"/>
      <x:c r="P58" s="105"/>
      <x:c r="Q58" s="105"/>
      <x:c r="R58" s="105"/>
      <x:c r="S58" s="105"/>
      <x:c r="T58" s="105"/>
      <x:c r="U58" s="105"/>
    </x:row>
    <x:row r="59">
      <x:c r="A59" s="105"/>
      <x:c r="B59" s="105"/>
      <x:c r="C59" s="105"/>
      <x:c r="D59" s="105"/>
      <x:c r="E59" s="105"/>
      <x:c r="F59" s="105"/>
      <x:c r="G59" s="105"/>
      <x:c r="H59" s="105"/>
      <x:c r="I59" s="105"/>
      <x:c r="J59" s="105"/>
      <x:c r="K59" s="105"/>
      <x:c r="L59" s="105"/>
      <x:c r="M59" s="105"/>
      <x:c r="N59" s="105"/>
      <x:c r="O59" s="105"/>
      <x:c r="P59" s="105"/>
      <x:c r="Q59" s="105"/>
      <x:c r="R59" s="105"/>
      <x:c r="S59" s="105"/>
      <x:c r="T59" s="105"/>
      <x:c r="U59" s="105"/>
    </x:row>
    <x:row r="60">
      <x:c r="A60" s="105"/>
      <x:c r="B60" s="105"/>
      <x:c r="C60" s="105"/>
      <x:c r="D60" s="105"/>
      <x:c r="E60" s="105"/>
      <x:c r="F60" s="105"/>
      <x:c r="G60" s="105"/>
      <x:c r="H60" s="105"/>
      <x:c r="I60" s="105"/>
      <x:c r="J60" s="105"/>
      <x:c r="K60" s="105"/>
      <x:c r="L60" s="105"/>
      <x:c r="M60" s="105"/>
      <x:c r="N60" s="105"/>
      <x:c r="O60" s="105"/>
      <x:c r="P60" s="105"/>
      <x:c r="Q60" s="105"/>
      <x:c r="R60" s="105"/>
      <x:c r="S60" s="105"/>
      <x:c r="T60" s="105"/>
      <x:c r="U60" s="105"/>
    </x:row>
    <x:row r="61">
      <x:c r="A61" s="105"/>
      <x:c r="B61" s="105"/>
      <x:c r="C61" s="105"/>
      <x:c r="D61" s="105"/>
      <x:c r="E61" s="105"/>
      <x:c r="F61" s="105"/>
      <x:c r="G61" s="105"/>
      <x:c r="H61" s="105"/>
      <x:c r="I61" s="105"/>
      <x:c r="J61" s="105"/>
      <x:c r="K61" s="105"/>
      <x:c r="L61" s="105"/>
      <x:c r="M61" s="105"/>
      <x:c r="N61" s="105"/>
      <x:c r="O61" s="105"/>
      <x:c r="P61" s="105"/>
      <x:c r="Q61" s="105"/>
      <x:c r="R61" s="105"/>
      <x:c r="S61" s="105"/>
      <x:c r="T61" s="105"/>
      <x:c r="U61" s="105"/>
    </x:row>
    <x:row r="62">
      <x:c r="A62" s="105"/>
      <x:c r="B62" s="105"/>
      <x:c r="C62" s="105"/>
      <x:c r="D62" s="105"/>
      <x:c r="E62" s="105"/>
      <x:c r="F62" s="105"/>
      <x:c r="G62" s="105"/>
      <x:c r="H62" s="105"/>
      <x:c r="I62" s="105"/>
      <x:c r="J62" s="105"/>
      <x:c r="K62" s="105"/>
      <x:c r="L62" s="105"/>
      <x:c r="M62" s="105"/>
      <x:c r="N62" s="105"/>
      <x:c r="O62" s="105"/>
      <x:c r="P62" s="105"/>
      <x:c r="Q62" s="105"/>
      <x:c r="R62" s="105"/>
      <x:c r="S62" s="105"/>
      <x:c r="T62" s="105"/>
      <x:c r="U62" s="105"/>
    </x:row>
    <x:row r="63">
      <x:c r="A63" s="105"/>
      <x:c r="B63" s="105"/>
      <x:c r="C63" s="105"/>
      <x:c r="D63" s="105"/>
      <x:c r="E63" s="105"/>
      <x:c r="F63" s="105"/>
      <x:c r="G63" s="105"/>
      <x:c r="H63" s="105"/>
      <x:c r="I63" s="105"/>
      <x:c r="J63" s="105"/>
      <x:c r="K63" s="105"/>
      <x:c r="L63" s="105"/>
      <x:c r="M63" s="105"/>
      <x:c r="N63" s="105"/>
      <x:c r="O63" s="105"/>
      <x:c r="P63" s="105"/>
      <x:c r="Q63" s="105"/>
      <x:c r="R63" s="105"/>
      <x:c r="S63" s="105"/>
      <x:c r="T63" s="105"/>
      <x:c r="U63" s="105"/>
    </x:row>
    <x:row r="64">
      <x:c r="A64" s="105"/>
      <x:c r="B64" s="105"/>
      <x:c r="C64" s="105"/>
      <x:c r="D64" s="105"/>
      <x:c r="E64" s="105"/>
      <x:c r="F64" s="105"/>
      <x:c r="G64" s="105"/>
      <x:c r="H64" s="105"/>
      <x:c r="I64" s="105"/>
      <x:c r="J64" s="105"/>
      <x:c r="K64" s="105"/>
      <x:c r="L64" s="105"/>
      <x:c r="M64" s="105"/>
      <x:c r="N64" s="105"/>
      <x:c r="O64" s="105"/>
      <x:c r="P64" s="105"/>
      <x:c r="Q64" s="105"/>
      <x:c r="R64" s="105"/>
      <x:c r="S64" s="105"/>
      <x:c r="T64" s="105"/>
      <x:c r="U64" s="105"/>
    </x:row>
    <x:row r="65">
      <x:c r="A65" s="105"/>
      <x:c r="B65" s="105"/>
      <x:c r="C65" s="105"/>
      <x:c r="D65" s="105"/>
      <x:c r="E65" s="105"/>
      <x:c r="F65" s="105"/>
      <x:c r="G65" s="105"/>
      <x:c r="H65" s="105"/>
      <x:c r="I65" s="105"/>
      <x:c r="J65" s="105"/>
      <x:c r="K65" s="105"/>
      <x:c r="L65" s="105"/>
      <x:c r="M65" s="105"/>
      <x:c r="N65" s="105"/>
      <x:c r="O65" s="105"/>
      <x:c r="P65" s="105"/>
      <x:c r="Q65" s="105"/>
      <x:c r="R65" s="105"/>
      <x:c r="S65" s="105"/>
      <x:c r="T65" s="105"/>
      <x:c r="U65" s="105"/>
    </x:row>
    <x:row r="66">
      <x:c r="A66" s="105"/>
      <x:c r="B66" s="105"/>
      <x:c r="C66" s="105"/>
      <x:c r="D66" s="105"/>
      <x:c r="E66" s="105"/>
      <x:c r="F66" s="105"/>
      <x:c r="G66" s="105"/>
      <x:c r="H66" s="105"/>
      <x:c r="I66" s="105"/>
      <x:c r="J66" s="105"/>
      <x:c r="K66" s="105"/>
      <x:c r="L66" s="105"/>
      <x:c r="M66" s="105"/>
      <x:c r="N66" s="105"/>
      <x:c r="O66" s="105"/>
      <x:c r="P66" s="105"/>
      <x:c r="Q66" s="105"/>
      <x:c r="R66" s="105"/>
      <x:c r="S66" s="105"/>
      <x:c r="T66" s="105"/>
      <x:c r="U66" s="105"/>
    </x:row>
    <x:row r="67">
      <x:c r="A67" s="105"/>
      <x:c r="B67" s="105"/>
      <x:c r="C67" s="105"/>
      <x:c r="D67" s="105"/>
      <x:c r="E67" s="105"/>
      <x:c r="F67" s="105"/>
      <x:c r="G67" s="105"/>
      <x:c r="H67" s="105"/>
      <x:c r="I67" s="105"/>
      <x:c r="J67" s="105"/>
      <x:c r="K67" s="105"/>
      <x:c r="L67" s="105"/>
      <x:c r="M67" s="105"/>
      <x:c r="N67" s="105"/>
      <x:c r="O67" s="105"/>
      <x:c r="P67" s="105"/>
      <x:c r="Q67" s="105"/>
      <x:c r="R67" s="105"/>
      <x:c r="S67" s="105"/>
      <x:c r="T67" s="105"/>
      <x:c r="U67" s="105"/>
    </x:row>
    <x:row r="68">
      <x:c r="A68" s="105"/>
      <x:c r="B68" s="105"/>
      <x:c r="C68" s="105"/>
      <x:c r="D68" s="105"/>
      <x:c r="E68" s="105"/>
      <x:c r="F68" s="105"/>
      <x:c r="G68" s="105"/>
      <x:c r="H68" s="105"/>
      <x:c r="I68" s="105"/>
      <x:c r="J68" s="105"/>
      <x:c r="K68" s="105"/>
      <x:c r="L68" s="105"/>
      <x:c r="M68" s="105"/>
      <x:c r="N68" s="105"/>
      <x:c r="O68" s="105"/>
      <x:c r="P68" s="105"/>
      <x:c r="Q68" s="105"/>
      <x:c r="R68" s="105"/>
      <x:c r="S68" s="105"/>
      <x:c r="T68" s="105"/>
      <x:c r="U68" s="105"/>
    </x:row>
    <x:row r="69">
      <x:c r="A69" s="105"/>
      <x:c r="B69" s="105"/>
      <x:c r="C69" s="105"/>
      <x:c r="D69" s="105"/>
      <x:c r="E69" s="105"/>
      <x:c r="F69" s="105"/>
      <x:c r="G69" s="105"/>
      <x:c r="H69" s="105"/>
      <x:c r="I69" s="105"/>
      <x:c r="J69" s="105"/>
      <x:c r="K69" s="105"/>
      <x:c r="L69" s="105"/>
      <x:c r="M69" s="105"/>
      <x:c r="N69" s="105"/>
      <x:c r="O69" s="105"/>
      <x:c r="P69" s="105"/>
      <x:c r="Q69" s="105"/>
      <x:c r="R69" s="105"/>
      <x:c r="S69" s="105"/>
      <x:c r="T69" s="105"/>
      <x:c r="U69" s="105"/>
    </x:row>
    <x:row r="70">
      <x:c r="A70" s="105"/>
      <x:c r="B70" s="105"/>
      <x:c r="C70" s="105"/>
      <x:c r="D70" s="105"/>
      <x:c r="E70" s="105"/>
      <x:c r="F70" s="105"/>
      <x:c r="G70" s="105"/>
      <x:c r="H70" s="105"/>
      <x:c r="I70" s="105"/>
      <x:c r="J70" s="105"/>
      <x:c r="K70" s="105"/>
      <x:c r="L70" s="105"/>
      <x:c r="M70" s="105"/>
      <x:c r="N70" s="105"/>
      <x:c r="O70" s="105"/>
      <x:c r="P70" s="105"/>
      <x:c r="Q70" s="105"/>
      <x:c r="R70" s="105"/>
      <x:c r="S70" s="105"/>
      <x:c r="T70" s="105"/>
      <x:c r="U70" s="105"/>
    </x:row>
    <x:row r="71">
      <x:c r="A71" s="105"/>
      <x:c r="B71" s="105"/>
      <x:c r="C71" s="105"/>
      <x:c r="D71" s="105"/>
      <x:c r="E71" s="105"/>
      <x:c r="F71" s="105"/>
      <x:c r="G71" s="105"/>
      <x:c r="H71" s="105"/>
      <x:c r="I71" s="105"/>
      <x:c r="J71" s="105"/>
      <x:c r="K71" s="105"/>
      <x:c r="L71" s="105"/>
      <x:c r="M71" s="105"/>
      <x:c r="N71" s="105"/>
      <x:c r="O71" s="105"/>
      <x:c r="P71" s="105"/>
      <x:c r="Q71" s="105"/>
      <x:c r="R71" s="105"/>
      <x:c r="S71" s="105"/>
      <x:c r="T71" s="105"/>
      <x:c r="U71" s="105"/>
    </x:row>
    <x:row r="72">
      <x:c r="A72" s="105"/>
      <x:c r="B72" s="105"/>
      <x:c r="C72" s="105"/>
      <x:c r="D72" s="105"/>
      <x:c r="E72" s="105"/>
      <x:c r="F72" s="105"/>
      <x:c r="G72" s="105"/>
      <x:c r="H72" s="105"/>
      <x:c r="I72" s="105"/>
      <x:c r="J72" s="105"/>
      <x:c r="K72" s="105"/>
      <x:c r="L72" s="105"/>
      <x:c r="M72" s="105"/>
      <x:c r="N72" s="105"/>
      <x:c r="O72" s="105"/>
      <x:c r="P72" s="105"/>
      <x:c r="Q72" s="105"/>
      <x:c r="R72" s="105"/>
      <x:c r="S72" s="105"/>
      <x:c r="T72" s="105"/>
      <x:c r="U72" s="105"/>
    </x:row>
    <x:row r="73">
      <x:c r="A73" s="105"/>
      <x:c r="B73" s="105"/>
      <x:c r="C73" s="105"/>
      <x:c r="D73" s="105"/>
      <x:c r="E73" s="105"/>
      <x:c r="F73" s="105"/>
      <x:c r="G73" s="105"/>
      <x:c r="H73" s="105"/>
      <x:c r="I73" s="105"/>
      <x:c r="J73" s="105"/>
      <x:c r="K73" s="105"/>
      <x:c r="L73" s="105"/>
      <x:c r="M73" s="105"/>
      <x:c r="N73" s="105"/>
      <x:c r="O73" s="105"/>
      <x:c r="P73" s="105"/>
      <x:c r="Q73" s="105"/>
      <x:c r="R73" s="105"/>
      <x:c r="S73" s="105"/>
      <x:c r="T73" s="105"/>
      <x:c r="U73" s="105"/>
    </x:row>
    <x:row r="74">
      <x:c r="A74" s="105"/>
      <x:c r="B74" s="105"/>
      <x:c r="C74" s="105"/>
      <x:c r="D74" s="105"/>
      <x:c r="E74" s="105"/>
      <x:c r="F74" s="105"/>
      <x:c r="G74" s="105"/>
      <x:c r="H74" s="105"/>
      <x:c r="I74" s="105"/>
      <x:c r="J74" s="105"/>
      <x:c r="K74" s="105"/>
      <x:c r="L74" s="105"/>
      <x:c r="M74" s="105"/>
      <x:c r="N74" s="105"/>
      <x:c r="O74" s="105"/>
      <x:c r="P74" s="105"/>
      <x:c r="Q74" s="105"/>
      <x:c r="R74" s="105"/>
      <x:c r="S74" s="105"/>
      <x:c r="T74" s="105"/>
      <x:c r="U74" s="105"/>
    </x:row>
    <x:row r="75">
      <x:c r="A75" s="105"/>
      <x:c r="B75" s="105"/>
      <x:c r="C75" s="105"/>
      <x:c r="D75" s="105"/>
      <x:c r="E75" s="105"/>
      <x:c r="F75" s="105"/>
      <x:c r="G75" s="105"/>
      <x:c r="H75" s="105"/>
      <x:c r="I75" s="105"/>
      <x:c r="J75" s="105"/>
      <x:c r="K75" s="105"/>
      <x:c r="L75" s="105"/>
      <x:c r="M75" s="105"/>
      <x:c r="N75" s="105"/>
      <x:c r="O75" s="105"/>
      <x:c r="P75" s="105"/>
      <x:c r="Q75" s="105"/>
      <x:c r="R75" s="105"/>
      <x:c r="S75" s="105"/>
      <x:c r="T75" s="105"/>
      <x:c r="U75" s="105"/>
    </x:row>
    <x:row r="76">
      <x:c r="A76" s="105"/>
      <x:c r="B76" s="105"/>
      <x:c r="C76" s="105"/>
      <x:c r="D76" s="105"/>
      <x:c r="E76" s="105"/>
      <x:c r="F76" s="105"/>
      <x:c r="G76" s="105"/>
      <x:c r="H76" s="105"/>
      <x:c r="I76" s="105"/>
      <x:c r="J76" s="105"/>
      <x:c r="K76" s="105"/>
      <x:c r="L76" s="105"/>
      <x:c r="M76" s="105"/>
      <x:c r="N76" s="105"/>
      <x:c r="O76" s="105"/>
      <x:c r="P76" s="105"/>
      <x:c r="Q76" s="105"/>
      <x:c r="R76" s="105"/>
      <x:c r="S76" s="105"/>
      <x:c r="T76" s="105"/>
      <x:c r="U76" s="105"/>
    </x:row>
    <x:row r="77">
      <x:c r="A77" s="105"/>
      <x:c r="B77" s="105"/>
      <x:c r="C77" s="105"/>
      <x:c r="D77" s="105"/>
      <x:c r="E77" s="105"/>
      <x:c r="F77" s="105"/>
      <x:c r="G77" s="105"/>
      <x:c r="H77" s="105"/>
      <x:c r="I77" s="105"/>
      <x:c r="J77" s="105"/>
      <x:c r="K77" s="105"/>
      <x:c r="L77" s="105"/>
      <x:c r="M77" s="105"/>
      <x:c r="N77" s="105"/>
      <x:c r="O77" s="105"/>
      <x:c r="P77" s="105"/>
      <x:c r="Q77" s="105"/>
      <x:c r="R77" s="105"/>
      <x:c r="S77" s="105"/>
      <x:c r="T77" s="105"/>
      <x:c r="U77" s="105"/>
    </x:row>
    <x:row r="78">
      <x:c r="A78" s="105"/>
      <x:c r="B78" s="105"/>
      <x:c r="C78" s="105"/>
      <x:c r="D78" s="105"/>
      <x:c r="E78" s="105"/>
      <x:c r="F78" s="105"/>
      <x:c r="G78" s="105"/>
      <x:c r="H78" s="105"/>
      <x:c r="I78" s="105"/>
      <x:c r="J78" s="105"/>
      <x:c r="K78" s="105"/>
      <x:c r="L78" s="105"/>
      <x:c r="M78" s="105"/>
      <x:c r="N78" s="105"/>
      <x:c r="O78" s="105"/>
      <x:c r="P78" s="105"/>
      <x:c r="Q78" s="105"/>
      <x:c r="R78" s="105"/>
      <x:c r="S78" s="105"/>
      <x:c r="T78" s="105"/>
      <x:c r="U78" s="105"/>
    </x:row>
    <x:row r="79">
      <x:c r="A79" s="105"/>
      <x:c r="B79" s="105"/>
      <x:c r="C79" s="105"/>
      <x:c r="D79" s="105"/>
      <x:c r="E79" s="105"/>
      <x:c r="F79" s="105"/>
      <x:c r="G79" s="105"/>
      <x:c r="H79" s="105"/>
      <x:c r="I79" s="105"/>
      <x:c r="J79" s="105"/>
      <x:c r="K79" s="105"/>
      <x:c r="L79" s="105"/>
      <x:c r="M79" s="105"/>
      <x:c r="N79" s="105"/>
      <x:c r="O79" s="105"/>
      <x:c r="P79" s="105"/>
      <x:c r="Q79" s="105"/>
      <x:c r="R79" s="105"/>
      <x:c r="S79" s="105"/>
      <x:c r="T79" s="105"/>
      <x:c r="U79" s="105"/>
    </x:row>
    <x:row r="80">
      <x:c r="A80" s="105"/>
      <x:c r="B80" s="105"/>
      <x:c r="C80" s="105"/>
      <x:c r="D80" s="105"/>
      <x:c r="E80" s="105"/>
      <x:c r="F80" s="105"/>
      <x:c r="G80" s="105"/>
      <x:c r="H80" s="105"/>
      <x:c r="I80" s="105"/>
      <x:c r="J80" s="105"/>
      <x:c r="K80" s="105"/>
      <x:c r="L80" s="105"/>
      <x:c r="M80" s="105"/>
      <x:c r="N80" s="105"/>
      <x:c r="O80" s="105"/>
      <x:c r="P80" s="105"/>
      <x:c r="Q80" s="105"/>
      <x:c r="R80" s="105"/>
      <x:c r="S80" s="105"/>
      <x:c r="T80" s="105"/>
      <x:c r="U80" s="10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140" t="str">
        <x:v>Category</x:v>
      </x:c>
      <x:c r="B1" s="140" t="str">
        <x:v>Acquisition Sensitivity</x:v>
      </x:c>
      <x:c r="C1" s="140" t="str">
        <x:v>Premium-Segment Sensitivity</x:v>
      </x:c>
      <x:c r="D1" s="140" t="str">
        <x:v>Efficiency Sensitivity</x:v>
      </x:c>
      <x:c r="E1" s="140" t="str">
        <x:v>Risk/Retention Sensitivity</x:v>
      </x:c>
      <x:c r="F1" s="140" t="str">
        <x:v>Commerce Weight</x:v>
      </x:c>
      <x:c r="G1" s="140" t="str">
        <x:v>Footfall Weight</x:v>
      </x:c>
      <x:c r="H1" s="140" t="str">
        <x:v>Road Weight</x:v>
      </x:c>
      <x:c r="I1" s="140" t="str">
        <x:v>Prestige Weight</x:v>
      </x:c>
      <x:c r="J1" s="140" t="str">
        <x:v>Capital Weight</x:v>
      </x:c>
      <x:c r="K1" s="140" t="str">
        <x:v>Data Weight</x:v>
      </x:c>
      <x:c r="L1" s="140" t="str">
        <x:v>Security Weight</x:v>
      </x:c>
      <x:c r="M1" s="140" t="str">
        <x:v>Amenity Weight</x:v>
      </x:c>
      <x:c r="N1" s="105"/>
      <x:c r="O1" s="105"/>
      <x:c r="P1" s="105"/>
      <x:c r="Q1" s="105"/>
      <x:c r="R1" s="105"/>
      <x:c r="S1" s="105"/>
      <x:c r="T1" s="105"/>
      <x:c r="U1" s="105"/>
    </x:row>
    <x:row r="2">
      <x:c r="A2" s="105" t="str">
        <x:v>Retail Finance</x:v>
      </x:c>
      <x:c r="B2" s="154" t="n">
        <x:v>0.55</x:v>
      </x:c>
      <x:c r="C2" s="154" t="n">
        <x:v>0.1</x:v>
      </x:c>
      <x:c r="D2" s="154" t="n">
        <x:v>0.2</x:v>
      </x:c>
      <x:c r="E2" s="154" t="n">
        <x:v>0.15</x:v>
      </x:c>
      <x:c r="F2" s="154" t="n">
        <x:v>0.25</x:v>
      </x:c>
      <x:c r="G2" s="154" t="n">
        <x:v>0.3</x:v>
      </x:c>
      <x:c r="H2" s="154" t="n">
        <x:v>0.25</x:v>
      </x:c>
      <x:c r="I2" s="154" t="n">
        <x:v>0.05</x:v>
      </x:c>
      <x:c r="J2" s="154" t="n">
        <x:v>0.05</x:v>
      </x:c>
      <x:c r="K2" s="154" t="n">
        <x:v>0</x:v>
      </x:c>
      <x:c r="L2" s="154" t="n">
        <x:v>0</x:v>
      </x:c>
      <x:c r="M2" s="154" t="n">
        <x:v>0.1</x:v>
      </x:c>
      <x:c r="N2" s="105"/>
      <x:c r="O2" s="105"/>
      <x:c r="P2" s="105"/>
      <x:c r="Q2" s="105"/>
      <x:c r="R2" s="105"/>
      <x:c r="S2" s="105"/>
      <x:c r="T2" s="105"/>
      <x:c r="U2" s="105"/>
    </x:row>
    <x:row r="3">
      <x:c r="A3" s="105" t="str">
        <x:v>Banking &amp; Savings</x:v>
      </x:c>
      <x:c r="B3" s="154" t="n">
        <x:v>0.3</x:v>
      </x:c>
      <x:c r="C3" s="154" t="n">
        <x:v>0.25</x:v>
      </x:c>
      <x:c r="D3" s="154" t="n">
        <x:v>0.2</x:v>
      </x:c>
      <x:c r="E3" s="154" t="n">
        <x:v>0.25</x:v>
      </x:c>
      <x:c r="F3" s="154" t="n">
        <x:v>0.2</x:v>
      </x:c>
      <x:c r="G3" s="154" t="n">
        <x:v>0.1</x:v>
      </x:c>
      <x:c r="H3" s="154" t="n">
        <x:v>0.15</x:v>
      </x:c>
      <x:c r="I3" s="154" t="n">
        <x:v>0.15</x:v>
      </x:c>
      <x:c r="J3" s="154" t="n">
        <x:v>0.2</x:v>
      </x:c>
      <x:c r="K3" s="154" t="n">
        <x:v>0</x:v>
      </x:c>
      <x:c r="L3" s="154" t="n">
        <x:v>0.15</x:v>
      </x:c>
      <x:c r="M3" s="154" t="n">
        <x:v>0.05</x:v>
      </x:c>
      <x:c r="N3" s="105"/>
      <x:c r="O3" s="105"/>
      <x:c r="P3" s="105"/>
      <x:c r="Q3" s="105"/>
      <x:c r="R3" s="105"/>
      <x:c r="S3" s="105"/>
      <x:c r="T3" s="105"/>
      <x:c r="U3" s="105"/>
    </x:row>
    <x:row r="4">
      <x:c r="A4" s="105" t="str">
        <x:v>Brokerage</x:v>
      </x:c>
      <x:c r="B4" s="154" t="n">
        <x:v>0.4</x:v>
      </x:c>
      <x:c r="C4" s="154" t="n">
        <x:v>0.25</x:v>
      </x:c>
      <x:c r="D4" s="154" t="n">
        <x:v>0.25</x:v>
      </x:c>
      <x:c r="E4" s="154" t="n">
        <x:v>0.1</x:v>
      </x:c>
      <x:c r="F4" s="154" t="n">
        <x:v>0.25</x:v>
      </x:c>
      <x:c r="G4" s="154" t="n">
        <x:v>0.15</x:v>
      </x:c>
      <x:c r="H4" s="154" t="n">
        <x:v>0.1</x:v>
      </x:c>
      <x:c r="I4" s="154" t="n">
        <x:v>0.1</x:v>
      </x:c>
      <x:c r="J4" s="154" t="n">
        <x:v>0.2</x:v>
      </x:c>
      <x:c r="K4" s="154" t="n">
        <x:v>0.15</x:v>
      </x:c>
      <x:c r="L4" s="154" t="n">
        <x:v>0</x:v>
      </x:c>
      <x:c r="M4" s="154" t="n">
        <x:v>0.05</x:v>
      </x:c>
      <x:c r="N4" s="105"/>
      <x:c r="O4" s="105"/>
      <x:c r="P4" s="105"/>
      <x:c r="Q4" s="105"/>
      <x:c r="R4" s="105"/>
      <x:c r="S4" s="105"/>
      <x:c r="T4" s="105"/>
      <x:c r="U4" s="105"/>
    </x:row>
    <x:row r="5">
      <x:c r="A5" s="105" t="str">
        <x:v>Trading &amp; Markets</x:v>
      </x:c>
      <x:c r="B5" s="154" t="n">
        <x:v>0.25</x:v>
      </x:c>
      <x:c r="C5" s="154" t="n">
        <x:v>0.3</x:v>
      </x:c>
      <x:c r="D5" s="154" t="n">
        <x:v>0.35</x:v>
      </x:c>
      <x:c r="E5" s="154" t="n">
        <x:v>0.1</x:v>
      </x:c>
      <x:c r="F5" s="154" t="n">
        <x:v>0.25</x:v>
      </x:c>
      <x:c r="G5" s="154" t="n">
        <x:v>0.1</x:v>
      </x:c>
      <x:c r="H5" s="154" t="n">
        <x:v>0.1</x:v>
      </x:c>
      <x:c r="I5" s="154" t="n">
        <x:v>0.05</x:v>
      </x:c>
      <x:c r="J5" s="154" t="n">
        <x:v>0.25</x:v>
      </x:c>
      <x:c r="K5" s="154" t="n">
        <x:v>0.2</x:v>
      </x:c>
      <x:c r="L5" s="154" t="n">
        <x:v>0</x:v>
      </x:c>
      <x:c r="M5" s="154" t="n">
        <x:v>0.05</x:v>
      </x:c>
      <x:c r="N5" s="105"/>
      <x:c r="O5" s="105"/>
      <x:c r="P5" s="105"/>
      <x:c r="Q5" s="105"/>
      <x:c r="R5" s="105"/>
      <x:c r="S5" s="105"/>
      <x:c r="T5" s="105"/>
      <x:c r="U5" s="105"/>
    </x:row>
    <x:row r="6">
      <x:c r="A6" s="105" t="str">
        <x:v>Lending &amp; Credit</x:v>
      </x:c>
      <x:c r="B6" s="154" t="n">
        <x:v>0.5</x:v>
      </x:c>
      <x:c r="C6" s="154" t="n">
        <x:v>0.1</x:v>
      </x:c>
      <x:c r="D6" s="154" t="n">
        <x:v>0.15</x:v>
      </x:c>
      <x:c r="E6" s="154" t="n">
        <x:v>0.25</x:v>
      </x:c>
      <x:c r="F6" s="154" t="n">
        <x:v>0.25</x:v>
      </x:c>
      <x:c r="G6" s="154" t="n">
        <x:v>0.2</x:v>
      </x:c>
      <x:c r="H6" s="154" t="n">
        <x:v>0.25</x:v>
      </x:c>
      <x:c r="I6" s="154" t="n">
        <x:v>0.05</x:v>
      </x:c>
      <x:c r="J6" s="154" t="n">
        <x:v>0.1</x:v>
      </x:c>
      <x:c r="K6" s="154" t="n">
        <x:v>0</x:v>
      </x:c>
      <x:c r="L6" s="154" t="n">
        <x:v>0.05</x:v>
      </x:c>
      <x:c r="M6" s="154" t="n">
        <x:v>0.1</x:v>
      </x:c>
      <x:c r="N6" s="105"/>
      <x:c r="O6" s="105"/>
      <x:c r="P6" s="105"/>
      <x:c r="Q6" s="105"/>
      <x:c r="R6" s="105"/>
      <x:c r="S6" s="105"/>
      <x:c r="T6" s="105"/>
      <x:c r="U6" s="105"/>
    </x:row>
    <x:row r="7">
      <x:c r="A7" s="105" t="str">
        <x:v>Insurance &amp; Risk</x:v>
      </x:c>
      <x:c r="B7" s="154" t="n">
        <x:v>0.3</x:v>
      </x:c>
      <x:c r="C7" s="154" t="n">
        <x:v>0.15</x:v>
      </x:c>
      <x:c r="D7" s="154" t="n">
        <x:v>0.15</x:v>
      </x:c>
      <x:c r="E7" s="154" t="n">
        <x:v>0.4</x:v>
      </x:c>
      <x:c r="F7" s="154" t="n">
        <x:v>0.15</x:v>
      </x:c>
      <x:c r="G7" s="154" t="n">
        <x:v>0.1</x:v>
      </x:c>
      <x:c r="H7" s="154" t="n">
        <x:v>0.2</x:v>
      </x:c>
      <x:c r="I7" s="154" t="n">
        <x:v>0.15</x:v>
      </x:c>
      <x:c r="J7" s="154" t="n">
        <x:v>0.1</x:v>
      </x:c>
      <x:c r="K7" s="154" t="n">
        <x:v>0.05</x:v>
      </x:c>
      <x:c r="L7" s="154" t="n">
        <x:v>0.15</x:v>
      </x:c>
      <x:c r="M7" s="154" t="n">
        <x:v>0.1</x:v>
      </x:c>
      <x:c r="N7" s="105"/>
      <x:c r="O7" s="105"/>
      <x:c r="P7" s="105"/>
      <x:c r="Q7" s="105"/>
      <x:c r="R7" s="105"/>
      <x:c r="S7" s="105"/>
      <x:c r="T7" s="105"/>
      <x:c r="U7" s="105"/>
    </x:row>
    <x:row r="8">
      <x:c r="A8" s="105" t="str">
        <x:v>Funds &amp; Asset Management</x:v>
      </x:c>
      <x:c r="B8" s="154" t="n">
        <x:v>0.1</x:v>
      </x:c>
      <x:c r="C8" s="154" t="n">
        <x:v>0.45</x:v>
      </x:c>
      <x:c r="D8" s="154" t="n">
        <x:v>0.3</x:v>
      </x:c>
      <x:c r="E8" s="154" t="n">
        <x:v>0.15</x:v>
      </x:c>
      <x:c r="F8" s="154" t="n">
        <x:v>0.1</x:v>
      </x:c>
      <x:c r="G8" s="154" t="n">
        <x:v>0.05</x:v>
      </x:c>
      <x:c r="H8" s="154" t="n">
        <x:v>0.05</x:v>
      </x:c>
      <x:c r="I8" s="154" t="n">
        <x:v>0.25</x:v>
      </x:c>
      <x:c r="J8" s="154" t="n">
        <x:v>0.25</x:v>
      </x:c>
      <x:c r="K8" s="154" t="n">
        <x:v>0.2</x:v>
      </x:c>
      <x:c r="L8" s="154" t="n">
        <x:v>0.05</x:v>
      </x:c>
      <x:c r="M8" s="154" t="n">
        <x:v>0.05</x:v>
      </x:c>
      <x:c r="N8" s="105"/>
      <x:c r="O8" s="105"/>
      <x:c r="P8" s="105"/>
      <x:c r="Q8" s="105"/>
      <x:c r="R8" s="105"/>
      <x:c r="S8" s="105"/>
      <x:c r="T8" s="105"/>
      <x:c r="U8" s="105"/>
    </x:row>
    <x:row r="9">
      <x:c r="A9" s="105" t="str">
        <x:v>Wealth &amp; Advisory</x:v>
      </x:c>
      <x:c r="B9" s="154" t="n">
        <x:v>0.15</x:v>
      </x:c>
      <x:c r="C9" s="154" t="n">
        <x:v>0.5</x:v>
      </x:c>
      <x:c r="D9" s="154" t="n">
        <x:v>0.15</x:v>
      </x:c>
      <x:c r="E9" s="154" t="n">
        <x:v>0.2</x:v>
      </x:c>
      <x:c r="F9" s="154" t="n">
        <x:v>0.1</x:v>
      </x:c>
      <x:c r="G9" s="154" t="n">
        <x:v>0.05</x:v>
      </x:c>
      <x:c r="H9" s="154" t="n">
        <x:v>0.05</x:v>
      </x:c>
      <x:c r="I9" s="154" t="n">
        <x:v>0.3</x:v>
      </x:c>
      <x:c r="J9" s="154" t="n">
        <x:v>0.2</x:v>
      </x:c>
      <x:c r="K9" s="154" t="n">
        <x:v>0.1</x:v>
      </x:c>
      <x:c r="L9" s="154" t="n">
        <x:v>0.05</x:v>
      </x:c>
      <x:c r="M9" s="154" t="n">
        <x:v>0.15</x:v>
      </x:c>
      <x:c r="N9" s="105"/>
      <x:c r="O9" s="105"/>
      <x:c r="P9" s="105"/>
      <x:c r="Q9" s="105"/>
      <x:c r="R9" s="105"/>
      <x:c r="S9" s="105"/>
      <x:c r="T9" s="105"/>
      <x:c r="U9" s="105"/>
    </x:row>
    <x:row r="10">
      <x:c r="A10" s="105" t="str">
        <x:v>Treasury, Vault &amp; Custody</x:v>
      </x:c>
      <x:c r="B10" s="154" t="n">
        <x:v>0</x:v>
      </x:c>
      <x:c r="C10" s="154" t="n">
        <x:v>0.1</x:v>
      </x:c>
      <x:c r="D10" s="154" t="n">
        <x:v>0.25</x:v>
      </x:c>
      <x:c r="E10" s="154" t="n">
        <x:v>0.65</x:v>
      </x:c>
      <x:c r="F10" s="154" t="n">
        <x:v>0.05</x:v>
      </x:c>
      <x:c r="G10" s="154" t="n">
        <x:v>0</x:v>
      </x:c>
      <x:c r="H10" s="154" t="n">
        <x:v>0.1</x:v>
      </x:c>
      <x:c r="I10" s="154" t="n">
        <x:v>0.1</x:v>
      </x:c>
      <x:c r="J10" s="154" t="n">
        <x:v>0.2</x:v>
      </x:c>
      <x:c r="K10" s="154" t="n">
        <x:v>0</x:v>
      </x:c>
      <x:c r="L10" s="154" t="n">
        <x:v>0.45</x:v>
      </x:c>
      <x:c r="M10" s="154" t="n">
        <x:v>0.1</x:v>
      </x:c>
      <x:c r="N10" s="105"/>
      <x:c r="O10" s="105"/>
      <x:c r="P10" s="105"/>
      <x:c r="Q10" s="105"/>
      <x:c r="R10" s="105"/>
      <x:c r="S10" s="105"/>
      <x:c r="T10" s="105"/>
      <x:c r="U10" s="105"/>
    </x:row>
    <x:row r="11">
      <x:c r="A11" s="105" t="str">
        <x:v>Research, Data &amp; Fintech</x:v>
      </x:c>
      <x:c r="B11" s="154" t="n">
        <x:v>0.2</x:v>
      </x:c>
      <x:c r="C11" s="154" t="n">
        <x:v>0.1</x:v>
      </x:c>
      <x:c r="D11" s="154" t="n">
        <x:v>0.55</x:v>
      </x:c>
      <x:c r="E11" s="154" t="n">
        <x:v>0.15</x:v>
      </x:c>
      <x:c r="F11" s="154" t="n">
        <x:v>0.1</x:v>
      </x:c>
      <x:c r="G11" s="154" t="n">
        <x:v>0.05</x:v>
      </x:c>
      <x:c r="H11" s="154" t="n">
        <x:v>0.1</x:v>
      </x:c>
      <x:c r="I11" s="154" t="n">
        <x:v>0.05</x:v>
      </x:c>
      <x:c r="J11" s="154" t="n">
        <x:v>0.1</x:v>
      </x:c>
      <x:c r="K11" s="154" t="n">
        <x:v>0.45</x:v>
      </x:c>
      <x:c r="L11" s="154" t="n">
        <x:v>0.05</x:v>
      </x:c>
      <x:c r="M11" s="154" t="n">
        <x:v>0.1</x:v>
      </x:c>
      <x:c r="N11" s="105"/>
      <x:c r="O11" s="105"/>
      <x:c r="P11" s="105"/>
      <x:c r="Q11" s="105"/>
      <x:c r="R11" s="105"/>
      <x:c r="S11" s="105"/>
      <x:c r="T11" s="105"/>
      <x:c r="U11" s="105"/>
    </x:row>
    <x:row r="12">
      <x:c r="A12" s="105" t="str">
        <x:v>Institutional Finance</x:v>
      </x:c>
      <x:c r="B12" s="154" t="n">
        <x:v>0.1</x:v>
      </x:c>
      <x:c r="C12" s="154" t="n">
        <x:v>0.5</x:v>
      </x:c>
      <x:c r="D12" s="154" t="n">
        <x:v>0.25</x:v>
      </x:c>
      <x:c r="E12" s="154" t="n">
        <x:v>0.15</x:v>
      </x:c>
      <x:c r="F12" s="154" t="n">
        <x:v>0.15</x:v>
      </x:c>
      <x:c r="G12" s="154" t="n">
        <x:v>0.05</x:v>
      </x:c>
      <x:c r="H12" s="154" t="n">
        <x:v>0.1</x:v>
      </x:c>
      <x:c r="I12" s="154" t="n">
        <x:v>0.2</x:v>
      </x:c>
      <x:c r="J12" s="154" t="n">
        <x:v>0.3</x:v>
      </x:c>
      <x:c r="K12" s="154" t="n">
        <x:v>0.1</x:v>
      </x:c>
      <x:c r="L12" s="154" t="n">
        <x:v>0.05</x:v>
      </x:c>
      <x:c r="M12" s="154" t="n">
        <x:v>0.05</x:v>
      </x:c>
      <x:c r="N12" s="105"/>
      <x:c r="O12" s="105"/>
      <x:c r="P12" s="105"/>
      <x:c r="Q12" s="105"/>
      <x:c r="R12" s="105"/>
      <x:c r="S12" s="105"/>
      <x:c r="T12" s="105"/>
      <x:c r="U12" s="105"/>
    </x:row>
    <x:row r="13">
      <x:c r="A13" s="105"/>
      <x:c r="B13" s="105"/>
      <x:c r="C13" s="105"/>
      <x:c r="D13" s="105"/>
      <x:c r="E13" s="105"/>
      <x:c r="F13" s="105"/>
      <x:c r="G13" s="105"/>
      <x:c r="H13" s="105"/>
      <x:c r="I13" s="105"/>
      <x:c r="J13" s="105"/>
      <x:c r="K13" s="105"/>
      <x:c r="L13" s="105"/>
      <x:c r="M13" s="105"/>
      <x:c r="N13" s="105"/>
      <x:c r="O13" s="105"/>
      <x:c r="P13" s="105"/>
      <x:c r="Q13" s="105"/>
      <x:c r="R13" s="105"/>
      <x:c r="S13" s="105"/>
      <x:c r="T13" s="105"/>
      <x:c r="U13" s="105"/>
    </x:row>
    <x:row r="14">
      <x:c r="A14" s="105"/>
      <x:c r="B14" s="105"/>
      <x:c r="C14" s="105"/>
      <x:c r="D14" s="105"/>
      <x:c r="E14" s="105"/>
      <x:c r="F14" s="105"/>
      <x:c r="G14" s="105"/>
      <x:c r="H14" s="105"/>
      <x:c r="I14" s="105"/>
      <x:c r="J14" s="105"/>
      <x:c r="K14" s="105"/>
      <x:c r="L14" s="105"/>
      <x:c r="M14" s="105"/>
      <x:c r="N14" s="105"/>
      <x:c r="O14" s="105"/>
      <x:c r="P14" s="105"/>
      <x:c r="Q14" s="105"/>
      <x:c r="R14" s="105"/>
      <x:c r="S14" s="105"/>
      <x:c r="T14" s="105"/>
      <x:c r="U14" s="105"/>
    </x:row>
    <x:row r="15">
      <x:c r="A15" s="105"/>
      <x:c r="B15" s="105"/>
      <x:c r="C15" s="105"/>
      <x:c r="D15" s="105"/>
      <x:c r="E15" s="105"/>
      <x:c r="F15" s="105"/>
      <x:c r="G15" s="105"/>
      <x:c r="H15" s="105"/>
      <x:c r="I15" s="105"/>
      <x:c r="J15" s="105"/>
      <x:c r="K15" s="105"/>
      <x:c r="L15" s="105"/>
      <x:c r="M15" s="105"/>
      <x:c r="N15" s="105"/>
      <x:c r="O15" s="105"/>
      <x:c r="P15" s="105"/>
      <x:c r="Q15" s="105"/>
      <x:c r="R15" s="105"/>
      <x:c r="S15" s="105"/>
      <x:c r="T15" s="105"/>
      <x:c r="U15" s="105"/>
    </x:row>
    <x:row r="16">
      <x:c r="A16" s="105"/>
      <x:c r="B16" s="105"/>
      <x:c r="C16" s="105"/>
      <x:c r="D16" s="105"/>
      <x:c r="E16" s="105"/>
      <x:c r="F16" s="105"/>
      <x:c r="G16" s="105"/>
      <x:c r="H16" s="105"/>
      <x:c r="I16" s="105"/>
      <x:c r="J16" s="105"/>
      <x:c r="K16" s="105"/>
      <x:c r="L16" s="105"/>
      <x:c r="M16" s="105"/>
      <x:c r="N16" s="105"/>
      <x:c r="O16" s="105"/>
      <x:c r="P16" s="105"/>
      <x:c r="Q16" s="105"/>
      <x:c r="R16" s="105"/>
      <x:c r="S16" s="105"/>
      <x:c r="T16" s="105"/>
      <x:c r="U16" s="105"/>
    </x:row>
    <x:row r="17">
      <x:c r="A17" s="105"/>
      <x:c r="B17" s="105"/>
      <x:c r="C17" s="105"/>
      <x:c r="D17" s="105"/>
      <x:c r="E17" s="105"/>
      <x:c r="F17" s="105"/>
      <x:c r="G17" s="105"/>
      <x:c r="H17" s="105"/>
      <x:c r="I17" s="105"/>
      <x:c r="J17" s="105"/>
      <x:c r="K17" s="105"/>
      <x:c r="L17" s="105"/>
      <x:c r="M17" s="105"/>
      <x:c r="N17" s="105"/>
      <x:c r="O17" s="105"/>
      <x:c r="P17" s="105"/>
      <x:c r="Q17" s="105"/>
      <x:c r="R17" s="105"/>
      <x:c r="S17" s="105"/>
      <x:c r="T17" s="105"/>
      <x:c r="U17" s="105"/>
    </x:row>
    <x:row r="18">
      <x:c r="A18" s="105"/>
      <x:c r="B18" s="105"/>
      <x:c r="C18" s="105"/>
      <x:c r="D18" s="105"/>
      <x:c r="E18" s="105"/>
      <x:c r="F18" s="105"/>
      <x:c r="G18" s="105"/>
      <x:c r="H18" s="105"/>
      <x:c r="I18" s="105"/>
      <x:c r="J18" s="105"/>
      <x:c r="K18" s="105"/>
      <x:c r="L18" s="105"/>
      <x:c r="M18" s="105"/>
      <x:c r="N18" s="105"/>
      <x:c r="O18" s="105"/>
      <x:c r="P18" s="105"/>
      <x:c r="Q18" s="105"/>
      <x:c r="R18" s="105"/>
      <x:c r="S18" s="105"/>
      <x:c r="T18" s="105"/>
      <x:c r="U18" s="105"/>
    </x:row>
    <x:row r="19">
      <x:c r="A19" s="105"/>
      <x:c r="B19" s="105"/>
      <x:c r="C19" s="105"/>
      <x:c r="D19" s="105"/>
      <x:c r="E19" s="105"/>
      <x:c r="F19" s="105"/>
      <x:c r="G19" s="105"/>
      <x:c r="H19" s="105"/>
      <x:c r="I19" s="105"/>
      <x:c r="J19" s="105"/>
      <x:c r="K19" s="105"/>
      <x:c r="L19" s="105"/>
      <x:c r="M19" s="105"/>
      <x:c r="N19" s="105"/>
      <x:c r="O19" s="105"/>
      <x:c r="P19" s="105"/>
      <x:c r="Q19" s="105"/>
      <x:c r="R19" s="105"/>
      <x:c r="S19" s="105"/>
      <x:c r="T19" s="105"/>
      <x:c r="U19" s="105"/>
    </x:row>
    <x:row r="20">
      <x:c r="A20" s="105"/>
      <x:c r="B20" s="105"/>
      <x:c r="C20" s="105"/>
      <x:c r="D20" s="105"/>
      <x:c r="E20" s="105"/>
      <x:c r="F20" s="105"/>
      <x:c r="G20" s="105"/>
      <x:c r="H20" s="105"/>
      <x:c r="I20" s="105"/>
      <x:c r="J20" s="105"/>
      <x:c r="K20" s="105"/>
      <x:c r="L20" s="105"/>
      <x:c r="M20" s="105"/>
      <x:c r="N20" s="105"/>
      <x:c r="O20" s="105"/>
      <x:c r="P20" s="105"/>
      <x:c r="Q20" s="105"/>
      <x:c r="R20" s="105"/>
      <x:c r="S20" s="105"/>
      <x:c r="T20" s="105"/>
      <x:c r="U20" s="105"/>
    </x:row>
    <x:row r="21">
      <x:c r="A21" s="105"/>
      <x:c r="B21" s="105"/>
      <x:c r="C21" s="105"/>
      <x:c r="D21" s="105"/>
      <x:c r="E21" s="105"/>
      <x:c r="F21" s="105"/>
      <x:c r="G21" s="105"/>
      <x:c r="H21" s="105"/>
      <x:c r="I21" s="105"/>
      <x:c r="J21" s="105"/>
      <x:c r="K21" s="105"/>
      <x:c r="L21" s="105"/>
      <x:c r="M21" s="105"/>
      <x:c r="N21" s="105"/>
      <x:c r="O21" s="105"/>
      <x:c r="P21" s="105"/>
      <x:c r="Q21" s="105"/>
      <x:c r="R21" s="105"/>
      <x:c r="S21" s="105"/>
      <x:c r="T21" s="105"/>
      <x:c r="U21" s="105"/>
    </x:row>
    <x:row r="22">
      <x:c r="A22" s="105"/>
      <x:c r="B22" s="105"/>
      <x:c r="C22" s="105"/>
      <x:c r="D22" s="105"/>
      <x:c r="E22" s="105"/>
      <x:c r="F22" s="105"/>
      <x:c r="G22" s="105"/>
      <x:c r="H22" s="105"/>
      <x:c r="I22" s="105"/>
      <x:c r="J22" s="105"/>
      <x:c r="K22" s="105"/>
      <x:c r="L22" s="105"/>
      <x:c r="M22" s="105"/>
      <x:c r="N22" s="105"/>
      <x:c r="O22" s="105"/>
      <x:c r="P22" s="105"/>
      <x:c r="Q22" s="105"/>
      <x:c r="R22" s="105"/>
      <x:c r="S22" s="105"/>
      <x:c r="T22" s="105"/>
      <x:c r="U22" s="105"/>
    </x:row>
    <x:row r="23">
      <x:c r="A23" s="105"/>
      <x:c r="B23" s="105"/>
      <x:c r="C23" s="105"/>
      <x:c r="D23" s="105"/>
      <x:c r="E23" s="105"/>
      <x:c r="F23" s="105"/>
      <x:c r="G23" s="105"/>
      <x:c r="H23" s="105"/>
      <x:c r="I23" s="105"/>
      <x:c r="J23" s="105"/>
      <x:c r="K23" s="105"/>
      <x:c r="L23" s="105"/>
      <x:c r="M23" s="105"/>
      <x:c r="N23" s="105"/>
      <x:c r="O23" s="105"/>
      <x:c r="P23" s="105"/>
      <x:c r="Q23" s="105"/>
      <x:c r="R23" s="105"/>
      <x:c r="S23" s="105"/>
      <x:c r="T23" s="105"/>
      <x:c r="U23" s="105"/>
    </x:row>
    <x:row r="24">
      <x:c r="A24" s="105"/>
      <x:c r="B24" s="105"/>
      <x:c r="C24" s="105"/>
      <x:c r="D24" s="105"/>
      <x:c r="E24" s="105"/>
      <x:c r="F24" s="105"/>
      <x:c r="G24" s="105"/>
      <x:c r="H24" s="105"/>
      <x:c r="I24" s="105"/>
      <x:c r="J24" s="105"/>
      <x:c r="K24" s="105"/>
      <x:c r="L24" s="105"/>
      <x:c r="M24" s="105"/>
      <x:c r="N24" s="105"/>
      <x:c r="O24" s="105"/>
      <x:c r="P24" s="105"/>
      <x:c r="Q24" s="105"/>
      <x:c r="R24" s="105"/>
      <x:c r="S24" s="105"/>
      <x:c r="T24" s="105"/>
      <x:c r="U24" s="105"/>
    </x:row>
    <x:row r="25">
      <x:c r="A25" s="105"/>
      <x:c r="B25" s="105"/>
      <x:c r="C25" s="105"/>
      <x:c r="D25" s="105"/>
      <x:c r="E25" s="105"/>
      <x:c r="F25" s="105"/>
      <x:c r="G25" s="105"/>
      <x:c r="H25" s="105"/>
      <x:c r="I25" s="105"/>
      <x:c r="J25" s="105"/>
      <x:c r="K25" s="105"/>
      <x:c r="L25" s="105"/>
      <x:c r="M25" s="105"/>
      <x:c r="N25" s="105"/>
      <x:c r="O25" s="105"/>
      <x:c r="P25" s="105"/>
      <x:c r="Q25" s="105"/>
      <x:c r="R25" s="105"/>
      <x:c r="S25" s="105"/>
      <x:c r="T25" s="105"/>
      <x:c r="U25" s="105"/>
    </x:row>
    <x:row r="26">
      <x:c r="A26" s="105"/>
      <x:c r="B26" s="105"/>
      <x:c r="C26" s="105"/>
      <x:c r="D26" s="105"/>
      <x:c r="E26" s="105"/>
      <x:c r="F26" s="105"/>
      <x:c r="G26" s="105"/>
      <x:c r="H26" s="105"/>
      <x:c r="I26" s="105"/>
      <x:c r="J26" s="105"/>
      <x:c r="K26" s="105"/>
      <x:c r="L26" s="105"/>
      <x:c r="M26" s="105"/>
      <x:c r="N26" s="105"/>
      <x:c r="O26" s="105"/>
      <x:c r="P26" s="105"/>
      <x:c r="Q26" s="105"/>
      <x:c r="R26" s="105"/>
      <x:c r="S26" s="105"/>
      <x:c r="T26" s="105"/>
      <x:c r="U26" s="105"/>
    </x:row>
    <x:row r="27">
      <x:c r="A27" s="105"/>
      <x:c r="B27" s="105"/>
      <x:c r="C27" s="105"/>
      <x:c r="D27" s="105"/>
      <x:c r="E27" s="105"/>
      <x:c r="F27" s="105"/>
      <x:c r="G27" s="105"/>
      <x:c r="H27" s="105"/>
      <x:c r="I27" s="105"/>
      <x:c r="J27" s="105"/>
      <x:c r="K27" s="105"/>
      <x:c r="L27" s="105"/>
      <x:c r="M27" s="105"/>
      <x:c r="N27" s="105"/>
      <x:c r="O27" s="105"/>
      <x:c r="P27" s="105"/>
      <x:c r="Q27" s="105"/>
      <x:c r="R27" s="105"/>
      <x:c r="S27" s="105"/>
      <x:c r="T27" s="105"/>
      <x:c r="U27" s="105"/>
    </x:row>
    <x:row r="28">
      <x:c r="A28" s="105"/>
      <x:c r="B28" s="105"/>
      <x:c r="C28" s="105"/>
      <x:c r="D28" s="105"/>
      <x:c r="E28" s="105"/>
      <x:c r="F28" s="105"/>
      <x:c r="G28" s="105"/>
      <x:c r="H28" s="105"/>
      <x:c r="I28" s="105"/>
      <x:c r="J28" s="105"/>
      <x:c r="K28" s="105"/>
      <x:c r="L28" s="105"/>
      <x:c r="M28" s="105"/>
      <x:c r="N28" s="105"/>
      <x:c r="O28" s="105"/>
      <x:c r="P28" s="105"/>
      <x:c r="Q28" s="105"/>
      <x:c r="R28" s="105"/>
      <x:c r="S28" s="105"/>
      <x:c r="T28" s="105"/>
      <x:c r="U28" s="105"/>
    </x:row>
    <x:row r="29">
      <x:c r="A29" s="105"/>
      <x:c r="B29" s="105"/>
      <x:c r="C29" s="105"/>
      <x:c r="D29" s="105"/>
      <x:c r="E29" s="105"/>
      <x:c r="F29" s="105"/>
      <x:c r="G29" s="105"/>
      <x:c r="H29" s="105"/>
      <x:c r="I29" s="105"/>
      <x:c r="J29" s="105"/>
      <x:c r="K29" s="105"/>
      <x:c r="L29" s="105"/>
      <x:c r="M29" s="105"/>
      <x:c r="N29" s="105"/>
      <x:c r="O29" s="105"/>
      <x:c r="P29" s="105"/>
      <x:c r="Q29" s="105"/>
      <x:c r="R29" s="105"/>
      <x:c r="S29" s="105"/>
      <x:c r="T29" s="105"/>
      <x:c r="U29" s="105"/>
    </x:row>
    <x:row r="30">
      <x:c r="A30" s="105"/>
      <x:c r="B30" s="105"/>
      <x:c r="C30" s="105"/>
      <x:c r="D30" s="105"/>
      <x:c r="E30" s="105"/>
      <x:c r="F30" s="105"/>
      <x:c r="G30" s="105"/>
      <x:c r="H30" s="105"/>
      <x:c r="I30" s="105"/>
      <x:c r="J30" s="105"/>
      <x:c r="K30" s="105"/>
      <x:c r="L30" s="105"/>
      <x:c r="M30" s="105"/>
      <x:c r="N30" s="105"/>
      <x:c r="O30" s="105"/>
      <x:c r="P30" s="105"/>
      <x:c r="Q30" s="105"/>
      <x:c r="R30" s="105"/>
      <x:c r="S30" s="105"/>
      <x:c r="T30" s="105"/>
      <x:c r="U30" s="105"/>
    </x:row>
    <x:row r="31">
      <x:c r="A31" s="105"/>
      <x:c r="B31" s="105"/>
      <x:c r="C31" s="105"/>
      <x:c r="D31" s="105"/>
      <x:c r="E31" s="105"/>
      <x:c r="F31" s="105"/>
      <x:c r="G31" s="105"/>
      <x:c r="H31" s="105"/>
      <x:c r="I31" s="105"/>
      <x:c r="J31" s="105"/>
      <x:c r="K31" s="105"/>
      <x:c r="L31" s="105"/>
      <x:c r="M31" s="105"/>
      <x:c r="N31" s="105"/>
      <x:c r="O31" s="105"/>
      <x:c r="P31" s="105"/>
      <x:c r="Q31" s="105"/>
      <x:c r="R31" s="105"/>
      <x:c r="S31" s="105"/>
      <x:c r="T31" s="105"/>
      <x:c r="U31" s="105"/>
    </x:row>
    <x:row r="32">
      <x:c r="A32" s="105"/>
      <x:c r="B32" s="105"/>
      <x:c r="C32" s="105"/>
      <x:c r="D32" s="105"/>
      <x:c r="E32" s="105"/>
      <x:c r="F32" s="105"/>
      <x:c r="G32" s="105"/>
      <x:c r="H32" s="105"/>
      <x:c r="I32" s="105"/>
      <x:c r="J32" s="105"/>
      <x:c r="K32" s="105"/>
      <x:c r="L32" s="105"/>
      <x:c r="M32" s="105"/>
      <x:c r="N32" s="105"/>
      <x:c r="O32" s="105"/>
      <x:c r="P32" s="105"/>
      <x:c r="Q32" s="105"/>
      <x:c r="R32" s="105"/>
      <x:c r="S32" s="105"/>
      <x:c r="T32" s="105"/>
      <x:c r="U32" s="105"/>
    </x:row>
    <x:row r="33">
      <x:c r="A33" s="105"/>
      <x:c r="B33" s="105"/>
      <x:c r="C33" s="105"/>
      <x:c r="D33" s="105"/>
      <x:c r="E33" s="105"/>
      <x:c r="F33" s="105"/>
      <x:c r="G33" s="105"/>
      <x:c r="H33" s="105"/>
      <x:c r="I33" s="105"/>
      <x:c r="J33" s="105"/>
      <x:c r="K33" s="105"/>
      <x:c r="L33" s="105"/>
      <x:c r="M33" s="105"/>
      <x:c r="N33" s="105"/>
      <x:c r="O33" s="105"/>
      <x:c r="P33" s="105"/>
      <x:c r="Q33" s="105"/>
      <x:c r="R33" s="105"/>
      <x:c r="S33" s="105"/>
      <x:c r="T33" s="105"/>
      <x:c r="U33" s="105"/>
    </x:row>
    <x:row r="34">
      <x:c r="A34" s="105"/>
      <x:c r="B34" s="105"/>
      <x:c r="C34" s="105"/>
      <x:c r="D34" s="105"/>
      <x:c r="E34" s="105"/>
      <x:c r="F34" s="105"/>
      <x:c r="G34" s="105"/>
      <x:c r="H34" s="105"/>
      <x:c r="I34" s="105"/>
      <x:c r="J34" s="105"/>
      <x:c r="K34" s="105"/>
      <x:c r="L34" s="105"/>
      <x:c r="M34" s="105"/>
      <x:c r="N34" s="105"/>
      <x:c r="O34" s="105"/>
      <x:c r="P34" s="105"/>
      <x:c r="Q34" s="105"/>
      <x:c r="R34" s="105"/>
      <x:c r="S34" s="105"/>
      <x:c r="T34" s="105"/>
      <x:c r="U34" s="105"/>
    </x:row>
    <x:row r="35">
      <x:c r="A35" s="105"/>
      <x:c r="B35" s="105"/>
      <x:c r="C35" s="105"/>
      <x:c r="D35" s="105"/>
      <x:c r="E35" s="105"/>
      <x:c r="F35" s="105"/>
      <x:c r="G35" s="105"/>
      <x:c r="H35" s="105"/>
      <x:c r="I35" s="105"/>
      <x:c r="J35" s="105"/>
      <x:c r="K35" s="105"/>
      <x:c r="L35" s="105"/>
      <x:c r="M35" s="105"/>
      <x:c r="N35" s="105"/>
      <x:c r="O35" s="105"/>
      <x:c r="P35" s="105"/>
      <x:c r="Q35" s="105"/>
      <x:c r="R35" s="105"/>
      <x:c r="S35" s="105"/>
      <x:c r="T35" s="105"/>
      <x:c r="U35" s="105"/>
    </x:row>
    <x:row r="36">
      <x:c r="A36" s="105"/>
      <x:c r="B36" s="105"/>
      <x:c r="C36" s="105"/>
      <x:c r="D36" s="105"/>
      <x:c r="E36" s="105"/>
      <x:c r="F36" s="105"/>
      <x:c r="G36" s="105"/>
      <x:c r="H36" s="105"/>
      <x:c r="I36" s="105"/>
      <x:c r="J36" s="105"/>
      <x:c r="K36" s="105"/>
      <x:c r="L36" s="105"/>
      <x:c r="M36" s="105"/>
      <x:c r="N36" s="105"/>
      <x:c r="O36" s="105"/>
      <x:c r="P36" s="105"/>
      <x:c r="Q36" s="105"/>
      <x:c r="R36" s="105"/>
      <x:c r="S36" s="105"/>
      <x:c r="T36" s="105"/>
      <x:c r="U36" s="105"/>
    </x:row>
    <x:row r="37">
      <x:c r="A37" s="105"/>
      <x:c r="B37" s="105"/>
      <x:c r="C37" s="105"/>
      <x:c r="D37" s="105"/>
      <x:c r="E37" s="105"/>
      <x:c r="F37" s="105"/>
      <x:c r="G37" s="105"/>
      <x:c r="H37" s="105"/>
      <x:c r="I37" s="105"/>
      <x:c r="J37" s="105"/>
      <x:c r="K37" s="105"/>
      <x:c r="L37" s="105"/>
      <x:c r="M37" s="105"/>
      <x:c r="N37" s="105"/>
      <x:c r="O37" s="105"/>
      <x:c r="P37" s="105"/>
      <x:c r="Q37" s="105"/>
      <x:c r="R37" s="105"/>
      <x:c r="S37" s="105"/>
      <x:c r="T37" s="105"/>
      <x:c r="U37" s="105"/>
    </x:row>
    <x:row r="38">
      <x:c r="A38" s="105"/>
      <x:c r="B38" s="105"/>
      <x:c r="C38" s="105"/>
      <x:c r="D38" s="105"/>
      <x:c r="E38" s="105"/>
      <x:c r="F38" s="105"/>
      <x:c r="G38" s="105"/>
      <x:c r="H38" s="105"/>
      <x:c r="I38" s="105"/>
      <x:c r="J38" s="105"/>
      <x:c r="K38" s="105"/>
      <x:c r="L38" s="105"/>
      <x:c r="M38" s="105"/>
      <x:c r="N38" s="105"/>
      <x:c r="O38" s="105"/>
      <x:c r="P38" s="105"/>
      <x:c r="Q38" s="105"/>
      <x:c r="R38" s="105"/>
      <x:c r="S38" s="105"/>
      <x:c r="T38" s="105"/>
      <x:c r="U38" s="105"/>
    </x:row>
    <x:row r="39">
      <x:c r="A39" s="105"/>
      <x:c r="B39" s="105"/>
      <x:c r="C39" s="105"/>
      <x:c r="D39" s="105"/>
      <x:c r="E39" s="105"/>
      <x:c r="F39" s="105"/>
      <x:c r="G39" s="105"/>
      <x:c r="H39" s="105"/>
      <x:c r="I39" s="105"/>
      <x:c r="J39" s="105"/>
      <x:c r="K39" s="105"/>
      <x:c r="L39" s="105"/>
      <x:c r="M39" s="105"/>
      <x:c r="N39" s="105"/>
      <x:c r="O39" s="105"/>
      <x:c r="P39" s="105"/>
      <x:c r="Q39" s="105"/>
      <x:c r="R39" s="105"/>
      <x:c r="S39" s="105"/>
      <x:c r="T39" s="105"/>
      <x:c r="U39" s="105"/>
    </x:row>
    <x:row r="40">
      <x:c r="A40" s="105"/>
      <x:c r="B40" s="105"/>
      <x:c r="C40" s="105"/>
      <x:c r="D40" s="105"/>
      <x:c r="E40" s="105"/>
      <x:c r="F40" s="105"/>
      <x:c r="G40" s="105"/>
      <x:c r="H40" s="105"/>
      <x:c r="I40" s="105"/>
      <x:c r="J40" s="105"/>
      <x:c r="K40" s="105"/>
      <x:c r="L40" s="105"/>
      <x:c r="M40" s="105"/>
      <x:c r="N40" s="105"/>
      <x:c r="O40" s="105"/>
      <x:c r="P40" s="105"/>
      <x:c r="Q40" s="105"/>
      <x:c r="R40" s="105"/>
      <x:c r="S40" s="105"/>
      <x:c r="T40" s="105"/>
      <x:c r="U40" s="105"/>
    </x:row>
    <x:row r="41">
      <x:c r="A41" s="105"/>
      <x:c r="B41" s="105"/>
      <x:c r="C41" s="105"/>
      <x:c r="D41" s="105"/>
      <x:c r="E41" s="105"/>
      <x:c r="F41" s="105"/>
      <x:c r="G41" s="105"/>
      <x:c r="H41" s="105"/>
      <x:c r="I41" s="105"/>
      <x:c r="J41" s="105"/>
      <x:c r="K41" s="105"/>
      <x:c r="L41" s="105"/>
      <x:c r="M41" s="105"/>
      <x:c r="N41" s="105"/>
      <x:c r="O41" s="105"/>
      <x:c r="P41" s="105"/>
      <x:c r="Q41" s="105"/>
      <x:c r="R41" s="105"/>
      <x:c r="S41" s="105"/>
      <x:c r="T41" s="105"/>
      <x:c r="U41" s="105"/>
    </x:row>
    <x:row r="42">
      <x:c r="A42" s="105"/>
      <x:c r="B42" s="105"/>
      <x:c r="C42" s="105"/>
      <x:c r="D42" s="105"/>
      <x:c r="E42" s="105"/>
      <x:c r="F42" s="105"/>
      <x:c r="G42" s="105"/>
      <x:c r="H42" s="105"/>
      <x:c r="I42" s="105"/>
      <x:c r="J42" s="105"/>
      <x:c r="K42" s="105"/>
      <x:c r="L42" s="105"/>
      <x:c r="M42" s="105"/>
      <x:c r="N42" s="105"/>
      <x:c r="O42" s="105"/>
      <x:c r="P42" s="105"/>
      <x:c r="Q42" s="105"/>
      <x:c r="R42" s="105"/>
      <x:c r="S42" s="105"/>
      <x:c r="T42" s="105"/>
      <x:c r="U42" s="105"/>
    </x:row>
    <x:row r="43">
      <x:c r="A43" s="105"/>
      <x:c r="B43" s="105"/>
      <x:c r="C43" s="105"/>
      <x:c r="D43" s="105"/>
      <x:c r="E43" s="105"/>
      <x:c r="F43" s="105"/>
      <x:c r="G43" s="105"/>
      <x:c r="H43" s="105"/>
      <x:c r="I43" s="105"/>
      <x:c r="J43" s="105"/>
      <x:c r="K43" s="105"/>
      <x:c r="L43" s="105"/>
      <x:c r="M43" s="105"/>
      <x:c r="N43" s="105"/>
      <x:c r="O43" s="105"/>
      <x:c r="P43" s="105"/>
      <x:c r="Q43" s="105"/>
      <x:c r="R43" s="105"/>
      <x:c r="S43" s="105"/>
      <x:c r="T43" s="105"/>
      <x:c r="U43" s="105"/>
    </x:row>
    <x:row r="44">
      <x:c r="A44" s="105"/>
      <x:c r="B44" s="105"/>
      <x:c r="C44" s="105"/>
      <x:c r="D44" s="105"/>
      <x:c r="E44" s="105"/>
      <x:c r="F44" s="105"/>
      <x:c r="G44" s="105"/>
      <x:c r="H44" s="105"/>
      <x:c r="I44" s="105"/>
      <x:c r="J44" s="105"/>
      <x:c r="K44" s="105"/>
      <x:c r="L44" s="105"/>
      <x:c r="M44" s="105"/>
      <x:c r="N44" s="105"/>
      <x:c r="O44" s="105"/>
      <x:c r="P44" s="105"/>
      <x:c r="Q44" s="105"/>
      <x:c r="R44" s="105"/>
      <x:c r="S44" s="105"/>
      <x:c r="T44" s="105"/>
      <x:c r="U44" s="105"/>
    </x:row>
    <x:row r="45">
      <x:c r="A45" s="105"/>
      <x:c r="B45" s="105"/>
      <x:c r="C45" s="105"/>
      <x:c r="D45" s="105"/>
      <x:c r="E45" s="105"/>
      <x:c r="F45" s="105"/>
      <x:c r="G45" s="105"/>
      <x:c r="H45" s="105"/>
      <x:c r="I45" s="105"/>
      <x:c r="J45" s="105"/>
      <x:c r="K45" s="105"/>
      <x:c r="L45" s="105"/>
      <x:c r="M45" s="105"/>
      <x:c r="N45" s="105"/>
      <x:c r="O45" s="105"/>
      <x:c r="P45" s="105"/>
      <x:c r="Q45" s="105"/>
      <x:c r="R45" s="105"/>
      <x:c r="S45" s="105"/>
      <x:c r="T45" s="105"/>
      <x:c r="U45" s="105"/>
    </x:row>
    <x:row r="46">
      <x:c r="A46" s="105"/>
      <x:c r="B46" s="105"/>
      <x:c r="C46" s="105"/>
      <x:c r="D46" s="105"/>
      <x:c r="E46" s="105"/>
      <x:c r="F46" s="105"/>
      <x:c r="G46" s="105"/>
      <x:c r="H46" s="105"/>
      <x:c r="I46" s="105"/>
      <x:c r="J46" s="105"/>
      <x:c r="K46" s="105"/>
      <x:c r="L46" s="105"/>
      <x:c r="M46" s="105"/>
      <x:c r="N46" s="105"/>
      <x:c r="O46" s="105"/>
      <x:c r="P46" s="105"/>
      <x:c r="Q46" s="105"/>
      <x:c r="R46" s="105"/>
      <x:c r="S46" s="105"/>
      <x:c r="T46" s="105"/>
      <x:c r="U46" s="105"/>
    </x:row>
    <x:row r="47">
      <x:c r="A47" s="105"/>
      <x:c r="B47" s="105"/>
      <x:c r="C47" s="105"/>
      <x:c r="D47" s="105"/>
      <x:c r="E47" s="105"/>
      <x:c r="F47" s="105"/>
      <x:c r="G47" s="105"/>
      <x:c r="H47" s="105"/>
      <x:c r="I47" s="105"/>
      <x:c r="J47" s="105"/>
      <x:c r="K47" s="105"/>
      <x:c r="L47" s="105"/>
      <x:c r="M47" s="105"/>
      <x:c r="N47" s="105"/>
      <x:c r="O47" s="105"/>
      <x:c r="P47" s="105"/>
      <x:c r="Q47" s="105"/>
      <x:c r="R47" s="105"/>
      <x:c r="S47" s="105"/>
      <x:c r="T47" s="105"/>
      <x:c r="U47" s="105"/>
    </x:row>
    <x:row r="48">
      <x:c r="A48" s="105"/>
      <x:c r="B48" s="105"/>
      <x:c r="C48" s="105"/>
      <x:c r="D48" s="105"/>
      <x:c r="E48" s="105"/>
      <x:c r="F48" s="105"/>
      <x:c r="G48" s="105"/>
      <x:c r="H48" s="105"/>
      <x:c r="I48" s="105"/>
      <x:c r="J48" s="105"/>
      <x:c r="K48" s="105"/>
      <x:c r="L48" s="105"/>
      <x:c r="M48" s="105"/>
      <x:c r="N48" s="105"/>
      <x:c r="O48" s="105"/>
      <x:c r="P48" s="105"/>
      <x:c r="Q48" s="105"/>
      <x:c r="R48" s="105"/>
      <x:c r="S48" s="105"/>
      <x:c r="T48" s="105"/>
      <x:c r="U48" s="105"/>
    </x:row>
    <x:row r="49">
      <x:c r="A49" s="105"/>
      <x:c r="B49" s="105"/>
      <x:c r="C49" s="105"/>
      <x:c r="D49" s="105"/>
      <x:c r="E49" s="105"/>
      <x:c r="F49" s="105"/>
      <x:c r="G49" s="105"/>
      <x:c r="H49" s="105"/>
      <x:c r="I49" s="105"/>
      <x:c r="J49" s="105"/>
      <x:c r="K49" s="105"/>
      <x:c r="L49" s="105"/>
      <x:c r="M49" s="105"/>
      <x:c r="N49" s="105"/>
      <x:c r="O49" s="105"/>
      <x:c r="P49" s="105"/>
      <x:c r="Q49" s="105"/>
      <x:c r="R49" s="105"/>
      <x:c r="S49" s="105"/>
      <x:c r="T49" s="105"/>
      <x:c r="U49" s="105"/>
    </x:row>
    <x:row r="50">
      <x:c r="A50" s="105"/>
      <x:c r="B50" s="105"/>
      <x:c r="C50" s="105"/>
      <x:c r="D50" s="105"/>
      <x:c r="E50" s="105"/>
      <x:c r="F50" s="105"/>
      <x:c r="G50" s="105"/>
      <x:c r="H50" s="105"/>
      <x:c r="I50" s="105"/>
      <x:c r="J50" s="105"/>
      <x:c r="K50" s="105"/>
      <x:c r="L50" s="105"/>
      <x:c r="M50" s="105"/>
      <x:c r="N50" s="105"/>
      <x:c r="O50" s="105"/>
      <x:c r="P50" s="105"/>
      <x:c r="Q50" s="105"/>
      <x:c r="R50" s="105"/>
      <x:c r="S50" s="105"/>
      <x:c r="T50" s="105"/>
      <x:c r="U50" s="105"/>
    </x:row>
    <x:row r="51">
      <x:c r="A51" s="105"/>
      <x:c r="B51" s="105"/>
      <x:c r="C51" s="105"/>
      <x:c r="D51" s="105"/>
      <x:c r="E51" s="105"/>
      <x:c r="F51" s="105"/>
      <x:c r="G51" s="105"/>
      <x:c r="H51" s="105"/>
      <x:c r="I51" s="105"/>
      <x:c r="J51" s="105"/>
      <x:c r="K51" s="105"/>
      <x:c r="L51" s="105"/>
      <x:c r="M51" s="105"/>
      <x:c r="N51" s="105"/>
      <x:c r="O51" s="105"/>
      <x:c r="P51" s="105"/>
      <x:c r="Q51" s="105"/>
      <x:c r="R51" s="105"/>
      <x:c r="S51" s="105"/>
      <x:c r="T51" s="105"/>
      <x:c r="U51" s="105"/>
    </x:row>
    <x:row r="52">
      <x:c r="A52" s="105"/>
      <x:c r="B52" s="105"/>
      <x:c r="C52" s="105"/>
      <x:c r="D52" s="105"/>
      <x:c r="E52" s="105"/>
      <x:c r="F52" s="105"/>
      <x:c r="G52" s="105"/>
      <x:c r="H52" s="105"/>
      <x:c r="I52" s="105"/>
      <x:c r="J52" s="105"/>
      <x:c r="K52" s="105"/>
      <x:c r="L52" s="105"/>
      <x:c r="M52" s="105"/>
      <x:c r="N52" s="105"/>
      <x:c r="O52" s="105"/>
      <x:c r="P52" s="105"/>
      <x:c r="Q52" s="105"/>
      <x:c r="R52" s="105"/>
      <x:c r="S52" s="105"/>
      <x:c r="T52" s="105"/>
      <x:c r="U52" s="105"/>
    </x:row>
    <x:row r="53">
      <x:c r="A53" s="105"/>
      <x:c r="B53" s="105"/>
      <x:c r="C53" s="105"/>
      <x:c r="D53" s="105"/>
      <x:c r="E53" s="105"/>
      <x:c r="F53" s="105"/>
      <x:c r="G53" s="105"/>
      <x:c r="H53" s="105"/>
      <x:c r="I53" s="105"/>
      <x:c r="J53" s="105"/>
      <x:c r="K53" s="105"/>
      <x:c r="L53" s="105"/>
      <x:c r="M53" s="105"/>
      <x:c r="N53" s="105"/>
      <x:c r="O53" s="105"/>
      <x:c r="P53" s="105"/>
      <x:c r="Q53" s="105"/>
      <x:c r="R53" s="105"/>
      <x:c r="S53" s="105"/>
      <x:c r="T53" s="105"/>
      <x:c r="U53" s="105"/>
    </x:row>
    <x:row r="54">
      <x:c r="A54" s="105"/>
      <x:c r="B54" s="105"/>
      <x:c r="C54" s="105"/>
      <x:c r="D54" s="105"/>
      <x:c r="E54" s="105"/>
      <x:c r="F54" s="105"/>
      <x:c r="G54" s="105"/>
      <x:c r="H54" s="105"/>
      <x:c r="I54" s="105"/>
      <x:c r="J54" s="105"/>
      <x:c r="K54" s="105"/>
      <x:c r="L54" s="105"/>
      <x:c r="M54" s="105"/>
      <x:c r="N54" s="105"/>
      <x:c r="O54" s="105"/>
      <x:c r="P54" s="105"/>
      <x:c r="Q54" s="105"/>
      <x:c r="R54" s="105"/>
      <x:c r="S54" s="105"/>
      <x:c r="T54" s="105"/>
      <x:c r="U54" s="105"/>
    </x:row>
    <x:row r="55">
      <x:c r="A55" s="105"/>
      <x:c r="B55" s="105"/>
      <x:c r="C55" s="105"/>
      <x:c r="D55" s="105"/>
      <x:c r="E55" s="105"/>
      <x:c r="F55" s="105"/>
      <x:c r="G55" s="105"/>
      <x:c r="H55" s="105"/>
      <x:c r="I55" s="105"/>
      <x:c r="J55" s="105"/>
      <x:c r="K55" s="105"/>
      <x:c r="L55" s="105"/>
      <x:c r="M55" s="105"/>
      <x:c r="N55" s="105"/>
      <x:c r="O55" s="105"/>
      <x:c r="P55" s="105"/>
      <x:c r="Q55" s="105"/>
      <x:c r="R55" s="105"/>
      <x:c r="S55" s="105"/>
      <x:c r="T55" s="105"/>
      <x:c r="U55" s="105"/>
    </x:row>
    <x:row r="56">
      <x:c r="A56" s="105"/>
      <x:c r="B56" s="105"/>
      <x:c r="C56" s="105"/>
      <x:c r="D56" s="105"/>
      <x:c r="E56" s="105"/>
      <x:c r="F56" s="105"/>
      <x:c r="G56" s="105"/>
      <x:c r="H56" s="105"/>
      <x:c r="I56" s="105"/>
      <x:c r="J56" s="105"/>
      <x:c r="K56" s="105"/>
      <x:c r="L56" s="105"/>
      <x:c r="M56" s="105"/>
      <x:c r="N56" s="105"/>
      <x:c r="O56" s="105"/>
      <x:c r="P56" s="105"/>
      <x:c r="Q56" s="105"/>
      <x:c r="R56" s="105"/>
      <x:c r="S56" s="105"/>
      <x:c r="T56" s="105"/>
      <x:c r="U56" s="105"/>
    </x:row>
    <x:row r="57">
      <x:c r="A57" s="105"/>
      <x:c r="B57" s="105"/>
      <x:c r="C57" s="105"/>
      <x:c r="D57" s="105"/>
      <x:c r="E57" s="105"/>
      <x:c r="F57" s="105"/>
      <x:c r="G57" s="105"/>
      <x:c r="H57" s="105"/>
      <x:c r="I57" s="105"/>
      <x:c r="J57" s="105"/>
      <x:c r="K57" s="105"/>
      <x:c r="L57" s="105"/>
      <x:c r="M57" s="105"/>
      <x:c r="N57" s="105"/>
      <x:c r="O57" s="105"/>
      <x:c r="P57" s="105"/>
      <x:c r="Q57" s="105"/>
      <x:c r="R57" s="105"/>
      <x:c r="S57" s="105"/>
      <x:c r="T57" s="105"/>
      <x:c r="U57" s="105"/>
    </x:row>
    <x:row r="58">
      <x:c r="A58" s="105"/>
      <x:c r="B58" s="105"/>
      <x:c r="C58" s="105"/>
      <x:c r="D58" s="105"/>
      <x:c r="E58" s="105"/>
      <x:c r="F58" s="105"/>
      <x:c r="G58" s="105"/>
      <x:c r="H58" s="105"/>
      <x:c r="I58" s="105"/>
      <x:c r="J58" s="105"/>
      <x:c r="K58" s="105"/>
      <x:c r="L58" s="105"/>
      <x:c r="M58" s="105"/>
      <x:c r="N58" s="105"/>
      <x:c r="O58" s="105"/>
      <x:c r="P58" s="105"/>
      <x:c r="Q58" s="105"/>
      <x:c r="R58" s="105"/>
      <x:c r="S58" s="105"/>
      <x:c r="T58" s="105"/>
      <x:c r="U58" s="105"/>
    </x:row>
    <x:row r="59">
      <x:c r="A59" s="105"/>
      <x:c r="B59" s="105"/>
      <x:c r="C59" s="105"/>
      <x:c r="D59" s="105"/>
      <x:c r="E59" s="105"/>
      <x:c r="F59" s="105"/>
      <x:c r="G59" s="105"/>
      <x:c r="H59" s="105"/>
      <x:c r="I59" s="105"/>
      <x:c r="J59" s="105"/>
      <x:c r="K59" s="105"/>
      <x:c r="L59" s="105"/>
      <x:c r="M59" s="105"/>
      <x:c r="N59" s="105"/>
      <x:c r="O59" s="105"/>
      <x:c r="P59" s="105"/>
      <x:c r="Q59" s="105"/>
      <x:c r="R59" s="105"/>
      <x:c r="S59" s="105"/>
      <x:c r="T59" s="105"/>
      <x:c r="U59" s="105"/>
    </x:row>
    <x:row r="60">
      <x:c r="A60" s="105"/>
      <x:c r="B60" s="105"/>
      <x:c r="C60" s="105"/>
      <x:c r="D60" s="105"/>
      <x:c r="E60" s="105"/>
      <x:c r="F60" s="105"/>
      <x:c r="G60" s="105"/>
      <x:c r="H60" s="105"/>
      <x:c r="I60" s="105"/>
      <x:c r="J60" s="105"/>
      <x:c r="K60" s="105"/>
      <x:c r="L60" s="105"/>
      <x:c r="M60" s="105"/>
      <x:c r="N60" s="105"/>
      <x:c r="O60" s="105"/>
      <x:c r="P60" s="105"/>
      <x:c r="Q60" s="105"/>
      <x:c r="R60" s="105"/>
      <x:c r="S60" s="105"/>
      <x:c r="T60" s="105"/>
      <x:c r="U60" s="105"/>
    </x:row>
    <x:row r="61">
      <x:c r="A61" s="105"/>
      <x:c r="B61" s="105"/>
      <x:c r="C61" s="105"/>
      <x:c r="D61" s="105"/>
      <x:c r="E61" s="105"/>
      <x:c r="F61" s="105"/>
      <x:c r="G61" s="105"/>
      <x:c r="H61" s="105"/>
      <x:c r="I61" s="105"/>
      <x:c r="J61" s="105"/>
      <x:c r="K61" s="105"/>
      <x:c r="L61" s="105"/>
      <x:c r="M61" s="105"/>
      <x:c r="N61" s="105"/>
      <x:c r="O61" s="105"/>
      <x:c r="P61" s="105"/>
      <x:c r="Q61" s="105"/>
      <x:c r="R61" s="105"/>
      <x:c r="S61" s="105"/>
      <x:c r="T61" s="105"/>
      <x:c r="U61" s="105"/>
    </x:row>
    <x:row r="62">
      <x:c r="A62" s="105"/>
      <x:c r="B62" s="105"/>
      <x:c r="C62" s="105"/>
      <x:c r="D62" s="105"/>
      <x:c r="E62" s="105"/>
      <x:c r="F62" s="105"/>
      <x:c r="G62" s="105"/>
      <x:c r="H62" s="105"/>
      <x:c r="I62" s="105"/>
      <x:c r="J62" s="105"/>
      <x:c r="K62" s="105"/>
      <x:c r="L62" s="105"/>
      <x:c r="M62" s="105"/>
      <x:c r="N62" s="105"/>
      <x:c r="O62" s="105"/>
      <x:c r="P62" s="105"/>
      <x:c r="Q62" s="105"/>
      <x:c r="R62" s="105"/>
      <x:c r="S62" s="105"/>
      <x:c r="T62" s="105"/>
      <x:c r="U62" s="105"/>
    </x:row>
    <x:row r="63">
      <x:c r="A63" s="105"/>
      <x:c r="B63" s="105"/>
      <x:c r="C63" s="105"/>
      <x:c r="D63" s="105"/>
      <x:c r="E63" s="105"/>
      <x:c r="F63" s="105"/>
      <x:c r="G63" s="105"/>
      <x:c r="H63" s="105"/>
      <x:c r="I63" s="105"/>
      <x:c r="J63" s="105"/>
      <x:c r="K63" s="105"/>
      <x:c r="L63" s="105"/>
      <x:c r="M63" s="105"/>
      <x:c r="N63" s="105"/>
      <x:c r="O63" s="105"/>
      <x:c r="P63" s="105"/>
      <x:c r="Q63" s="105"/>
      <x:c r="R63" s="105"/>
      <x:c r="S63" s="105"/>
      <x:c r="T63" s="105"/>
      <x:c r="U63" s="105"/>
    </x:row>
    <x:row r="64">
      <x:c r="A64" s="105"/>
      <x:c r="B64" s="105"/>
      <x:c r="C64" s="105"/>
      <x:c r="D64" s="105"/>
      <x:c r="E64" s="105"/>
      <x:c r="F64" s="105"/>
      <x:c r="G64" s="105"/>
      <x:c r="H64" s="105"/>
      <x:c r="I64" s="105"/>
      <x:c r="J64" s="105"/>
      <x:c r="K64" s="105"/>
      <x:c r="L64" s="105"/>
      <x:c r="M64" s="105"/>
      <x:c r="N64" s="105"/>
      <x:c r="O64" s="105"/>
      <x:c r="P64" s="105"/>
      <x:c r="Q64" s="105"/>
      <x:c r="R64" s="105"/>
      <x:c r="S64" s="105"/>
      <x:c r="T64" s="105"/>
      <x:c r="U64" s="105"/>
    </x:row>
    <x:row r="65">
      <x:c r="A65" s="105"/>
      <x:c r="B65" s="105"/>
      <x:c r="C65" s="105"/>
      <x:c r="D65" s="105"/>
      <x:c r="E65" s="105"/>
      <x:c r="F65" s="105"/>
      <x:c r="G65" s="105"/>
      <x:c r="H65" s="105"/>
      <x:c r="I65" s="105"/>
      <x:c r="J65" s="105"/>
      <x:c r="K65" s="105"/>
      <x:c r="L65" s="105"/>
      <x:c r="M65" s="105"/>
      <x:c r="N65" s="105"/>
      <x:c r="O65" s="105"/>
      <x:c r="P65" s="105"/>
      <x:c r="Q65" s="105"/>
      <x:c r="R65" s="105"/>
      <x:c r="S65" s="105"/>
      <x:c r="T65" s="105"/>
      <x:c r="U65" s="105"/>
    </x:row>
    <x:row r="66">
      <x:c r="A66" s="105"/>
      <x:c r="B66" s="105"/>
      <x:c r="C66" s="105"/>
      <x:c r="D66" s="105"/>
      <x:c r="E66" s="105"/>
      <x:c r="F66" s="105"/>
      <x:c r="G66" s="105"/>
      <x:c r="H66" s="105"/>
      <x:c r="I66" s="105"/>
      <x:c r="J66" s="105"/>
      <x:c r="K66" s="105"/>
      <x:c r="L66" s="105"/>
      <x:c r="M66" s="105"/>
      <x:c r="N66" s="105"/>
      <x:c r="O66" s="105"/>
      <x:c r="P66" s="105"/>
      <x:c r="Q66" s="105"/>
      <x:c r="R66" s="105"/>
      <x:c r="S66" s="105"/>
      <x:c r="T66" s="105"/>
      <x:c r="U66" s="105"/>
    </x:row>
    <x:row r="67">
      <x:c r="A67" s="105"/>
      <x:c r="B67" s="105"/>
      <x:c r="C67" s="105"/>
      <x:c r="D67" s="105"/>
      <x:c r="E67" s="105"/>
      <x:c r="F67" s="105"/>
      <x:c r="G67" s="105"/>
      <x:c r="H67" s="105"/>
      <x:c r="I67" s="105"/>
      <x:c r="J67" s="105"/>
      <x:c r="K67" s="105"/>
      <x:c r="L67" s="105"/>
      <x:c r="M67" s="105"/>
      <x:c r="N67" s="105"/>
      <x:c r="O67" s="105"/>
      <x:c r="P67" s="105"/>
      <x:c r="Q67" s="105"/>
      <x:c r="R67" s="105"/>
      <x:c r="S67" s="105"/>
      <x:c r="T67" s="105"/>
      <x:c r="U67" s="105"/>
    </x:row>
    <x:row r="68">
      <x:c r="A68" s="105"/>
      <x:c r="B68" s="105"/>
      <x:c r="C68" s="105"/>
      <x:c r="D68" s="105"/>
      <x:c r="E68" s="105"/>
      <x:c r="F68" s="105"/>
      <x:c r="G68" s="105"/>
      <x:c r="H68" s="105"/>
      <x:c r="I68" s="105"/>
      <x:c r="J68" s="105"/>
      <x:c r="K68" s="105"/>
      <x:c r="L68" s="105"/>
      <x:c r="M68" s="105"/>
      <x:c r="N68" s="105"/>
      <x:c r="O68" s="105"/>
      <x:c r="P68" s="105"/>
      <x:c r="Q68" s="105"/>
      <x:c r="R68" s="105"/>
      <x:c r="S68" s="105"/>
      <x:c r="T68" s="105"/>
      <x:c r="U68" s="105"/>
    </x:row>
    <x:row r="69">
      <x:c r="A69" s="105"/>
      <x:c r="B69" s="105"/>
      <x:c r="C69" s="105"/>
      <x:c r="D69" s="105"/>
      <x:c r="E69" s="105"/>
      <x:c r="F69" s="105"/>
      <x:c r="G69" s="105"/>
      <x:c r="H69" s="105"/>
      <x:c r="I69" s="105"/>
      <x:c r="J69" s="105"/>
      <x:c r="K69" s="105"/>
      <x:c r="L69" s="105"/>
      <x:c r="M69" s="105"/>
      <x:c r="N69" s="105"/>
      <x:c r="O69" s="105"/>
      <x:c r="P69" s="105"/>
      <x:c r="Q69" s="105"/>
      <x:c r="R69" s="105"/>
      <x:c r="S69" s="105"/>
      <x:c r="T69" s="105"/>
      <x:c r="U69" s="105"/>
    </x:row>
    <x:row r="70">
      <x:c r="A70" s="105"/>
      <x:c r="B70" s="105"/>
      <x:c r="C70" s="105"/>
      <x:c r="D70" s="105"/>
      <x:c r="E70" s="105"/>
      <x:c r="F70" s="105"/>
      <x:c r="G70" s="105"/>
      <x:c r="H70" s="105"/>
      <x:c r="I70" s="105"/>
      <x:c r="J70" s="105"/>
      <x:c r="K70" s="105"/>
      <x:c r="L70" s="105"/>
      <x:c r="M70" s="105"/>
      <x:c r="N70" s="105"/>
      <x:c r="O70" s="105"/>
      <x:c r="P70" s="105"/>
      <x:c r="Q70" s="105"/>
      <x:c r="R70" s="105"/>
      <x:c r="S70" s="105"/>
      <x:c r="T70" s="105"/>
      <x:c r="U70" s="105"/>
    </x:row>
    <x:row r="71">
      <x:c r="A71" s="105"/>
      <x:c r="B71" s="105"/>
      <x:c r="C71" s="105"/>
      <x:c r="D71" s="105"/>
      <x:c r="E71" s="105"/>
      <x:c r="F71" s="105"/>
      <x:c r="G71" s="105"/>
      <x:c r="H71" s="105"/>
      <x:c r="I71" s="105"/>
      <x:c r="J71" s="105"/>
      <x:c r="K71" s="105"/>
      <x:c r="L71" s="105"/>
      <x:c r="M71" s="105"/>
      <x:c r="N71" s="105"/>
      <x:c r="O71" s="105"/>
      <x:c r="P71" s="105"/>
      <x:c r="Q71" s="105"/>
      <x:c r="R71" s="105"/>
      <x:c r="S71" s="105"/>
      <x:c r="T71" s="105"/>
      <x:c r="U71" s="105"/>
    </x:row>
    <x:row r="72">
      <x:c r="A72" s="105"/>
      <x:c r="B72" s="105"/>
      <x:c r="C72" s="105"/>
      <x:c r="D72" s="105"/>
      <x:c r="E72" s="105"/>
      <x:c r="F72" s="105"/>
      <x:c r="G72" s="105"/>
      <x:c r="H72" s="105"/>
      <x:c r="I72" s="105"/>
      <x:c r="J72" s="105"/>
      <x:c r="K72" s="105"/>
      <x:c r="L72" s="105"/>
      <x:c r="M72" s="105"/>
      <x:c r="N72" s="105"/>
      <x:c r="O72" s="105"/>
      <x:c r="P72" s="105"/>
      <x:c r="Q72" s="105"/>
      <x:c r="R72" s="105"/>
      <x:c r="S72" s="105"/>
      <x:c r="T72" s="105"/>
      <x:c r="U72" s="105"/>
    </x:row>
    <x:row r="73">
      <x:c r="A73" s="105"/>
      <x:c r="B73" s="105"/>
      <x:c r="C73" s="105"/>
      <x:c r="D73" s="105"/>
      <x:c r="E73" s="105"/>
      <x:c r="F73" s="105"/>
      <x:c r="G73" s="105"/>
      <x:c r="H73" s="105"/>
      <x:c r="I73" s="105"/>
      <x:c r="J73" s="105"/>
      <x:c r="K73" s="105"/>
      <x:c r="L73" s="105"/>
      <x:c r="M73" s="105"/>
      <x:c r="N73" s="105"/>
      <x:c r="O73" s="105"/>
      <x:c r="P73" s="105"/>
      <x:c r="Q73" s="105"/>
      <x:c r="R73" s="105"/>
      <x:c r="S73" s="105"/>
      <x:c r="T73" s="105"/>
      <x:c r="U73" s="105"/>
    </x:row>
    <x:row r="74">
      <x:c r="A74" s="105"/>
      <x:c r="B74" s="105"/>
      <x:c r="C74" s="105"/>
      <x:c r="D74" s="105"/>
      <x:c r="E74" s="105"/>
      <x:c r="F74" s="105"/>
      <x:c r="G74" s="105"/>
      <x:c r="H74" s="105"/>
      <x:c r="I74" s="105"/>
      <x:c r="J74" s="105"/>
      <x:c r="K74" s="105"/>
      <x:c r="L74" s="105"/>
      <x:c r="M74" s="105"/>
      <x:c r="N74" s="105"/>
      <x:c r="O74" s="105"/>
      <x:c r="P74" s="105"/>
      <x:c r="Q74" s="105"/>
      <x:c r="R74" s="105"/>
      <x:c r="S74" s="105"/>
      <x:c r="T74" s="105"/>
      <x:c r="U74" s="105"/>
    </x:row>
    <x:row r="75">
      <x:c r="A75" s="105"/>
      <x:c r="B75" s="105"/>
      <x:c r="C75" s="105"/>
      <x:c r="D75" s="105"/>
      <x:c r="E75" s="105"/>
      <x:c r="F75" s="105"/>
      <x:c r="G75" s="105"/>
      <x:c r="H75" s="105"/>
      <x:c r="I75" s="105"/>
      <x:c r="J75" s="105"/>
      <x:c r="K75" s="105"/>
      <x:c r="L75" s="105"/>
      <x:c r="M75" s="105"/>
      <x:c r="N75" s="105"/>
      <x:c r="O75" s="105"/>
      <x:c r="P75" s="105"/>
      <x:c r="Q75" s="105"/>
      <x:c r="R75" s="105"/>
      <x:c r="S75" s="105"/>
      <x:c r="T75" s="105"/>
      <x:c r="U75" s="105"/>
    </x:row>
    <x:row r="76">
      <x:c r="A76" s="105"/>
      <x:c r="B76" s="105"/>
      <x:c r="C76" s="105"/>
      <x:c r="D76" s="105"/>
      <x:c r="E76" s="105"/>
      <x:c r="F76" s="105"/>
      <x:c r="G76" s="105"/>
      <x:c r="H76" s="105"/>
      <x:c r="I76" s="105"/>
      <x:c r="J76" s="105"/>
      <x:c r="K76" s="105"/>
      <x:c r="L76" s="105"/>
      <x:c r="M76" s="105"/>
      <x:c r="N76" s="105"/>
      <x:c r="O76" s="105"/>
      <x:c r="P76" s="105"/>
      <x:c r="Q76" s="105"/>
      <x:c r="R76" s="105"/>
      <x:c r="S76" s="105"/>
      <x:c r="T76" s="105"/>
      <x:c r="U76" s="105"/>
    </x:row>
    <x:row r="77">
      <x:c r="A77" s="105"/>
      <x:c r="B77" s="105"/>
      <x:c r="C77" s="105"/>
      <x:c r="D77" s="105"/>
      <x:c r="E77" s="105"/>
      <x:c r="F77" s="105"/>
      <x:c r="G77" s="105"/>
      <x:c r="H77" s="105"/>
      <x:c r="I77" s="105"/>
      <x:c r="J77" s="105"/>
      <x:c r="K77" s="105"/>
      <x:c r="L77" s="105"/>
      <x:c r="M77" s="105"/>
      <x:c r="N77" s="105"/>
      <x:c r="O77" s="105"/>
      <x:c r="P77" s="105"/>
      <x:c r="Q77" s="105"/>
      <x:c r="R77" s="105"/>
      <x:c r="S77" s="105"/>
      <x:c r="T77" s="105"/>
      <x:c r="U77" s="105"/>
    </x:row>
    <x:row r="78">
      <x:c r="A78" s="105"/>
      <x:c r="B78" s="105"/>
      <x:c r="C78" s="105"/>
      <x:c r="D78" s="105"/>
      <x:c r="E78" s="105"/>
      <x:c r="F78" s="105"/>
      <x:c r="G78" s="105"/>
      <x:c r="H78" s="105"/>
      <x:c r="I78" s="105"/>
      <x:c r="J78" s="105"/>
      <x:c r="K78" s="105"/>
      <x:c r="L78" s="105"/>
      <x:c r="M78" s="105"/>
      <x:c r="N78" s="105"/>
      <x:c r="O78" s="105"/>
      <x:c r="P78" s="105"/>
      <x:c r="Q78" s="105"/>
      <x:c r="R78" s="105"/>
      <x:c r="S78" s="105"/>
      <x:c r="T78" s="105"/>
      <x:c r="U78" s="105"/>
    </x:row>
    <x:row r="79">
      <x:c r="A79" s="105"/>
      <x:c r="B79" s="105"/>
      <x:c r="C79" s="105"/>
      <x:c r="D79" s="105"/>
      <x:c r="E79" s="105"/>
      <x:c r="F79" s="105"/>
      <x:c r="G79" s="105"/>
      <x:c r="H79" s="105"/>
      <x:c r="I79" s="105"/>
      <x:c r="J79" s="105"/>
      <x:c r="K79" s="105"/>
      <x:c r="L79" s="105"/>
      <x:c r="M79" s="105"/>
      <x:c r="N79" s="105"/>
      <x:c r="O79" s="105"/>
      <x:c r="P79" s="105"/>
      <x:c r="Q79" s="105"/>
      <x:c r="R79" s="105"/>
      <x:c r="S79" s="105"/>
      <x:c r="T79" s="105"/>
      <x:c r="U79" s="105"/>
    </x:row>
    <x:row r="80">
      <x:c r="A80" s="105"/>
      <x:c r="B80" s="105"/>
      <x:c r="C80" s="105"/>
      <x:c r="D80" s="105"/>
      <x:c r="E80" s="105"/>
      <x:c r="F80" s="105"/>
      <x:c r="G80" s="105"/>
      <x:c r="H80" s="105"/>
      <x:c r="I80" s="105"/>
      <x:c r="J80" s="105"/>
      <x:c r="K80" s="105"/>
      <x:c r="L80" s="105"/>
      <x:c r="M80" s="105"/>
      <x:c r="N80" s="105"/>
      <x:c r="O80" s="105"/>
      <x:c r="P80" s="105"/>
      <x:c r="Q80" s="105"/>
      <x:c r="R80" s="105"/>
      <x:c r="S80" s="105"/>
      <x:c r="T80" s="105"/>
      <x:c r="U80" s="10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44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</x:cols>
  <x:sheetData>
    <x:row r="1">
      <x:c r="A1" s="104" t="str">
        <x:v>Hex Attribute → Customer / Settlement Mechanics</x:v>
      </x:c>
      <x:c r="B1" s="104"/>
      <x:c r="C1" s="104"/>
      <x:c r="D1" s="104"/>
      <x:c r="E1" s="104"/>
      <x:c r="F1" s="104"/>
      <x:c r="G1" s="104"/>
      <x:c r="H1" s="104"/>
      <x:c r="I1" s="105"/>
      <x:c r="J1" s="105"/>
      <x:c r="K1" s="105"/>
      <x:c r="L1" s="105"/>
      <x:c r="M1" s="105"/>
      <x:c r="N1" s="105"/>
      <x:c r="O1" s="105"/>
      <x:c r="P1" s="105"/>
      <x:c r="Q1" s="105"/>
      <x:c r="R1" s="105"/>
      <x:c r="S1" s="105"/>
      <x:c r="T1" s="105"/>
      <x:c r="U1" s="105"/>
    </x:row>
    <x:row r="2">
      <x:c r="A2" s="105"/>
      <x:c r="B2" s="105"/>
      <x:c r="C2" s="105"/>
      <x:c r="D2" s="105"/>
      <x:c r="E2" s="105"/>
      <x:c r="F2" s="105"/>
      <x:c r="G2" s="105"/>
      <x:c r="H2" s="105"/>
      <x:c r="I2" s="105"/>
      <x:c r="J2" s="105"/>
      <x:c r="K2" s="105"/>
      <x:c r="L2" s="105"/>
      <x:c r="M2" s="105"/>
      <x:c r="N2" s="105"/>
      <x:c r="O2" s="105"/>
      <x:c r="P2" s="105"/>
      <x:c r="Q2" s="105"/>
      <x:c r="R2" s="105"/>
      <x:c r="S2" s="105"/>
      <x:c r="T2" s="105"/>
      <x:c r="U2" s="105"/>
    </x:row>
    <x:row r="3">
      <x:c r="A3" s="160" t="str">
        <x:v>Mechanic</x:v>
      </x:c>
      <x:c r="B3" s="160" t="str">
        <x:v>Hex Inputs</x:v>
      </x:c>
      <x:c r="C3" s="160" t="str">
        <x:v>Formula Logic</x:v>
      </x:c>
      <x:c r="D3" s="160" t="str">
        <x:v>Output Range</x:v>
      </x:c>
      <x:c r="E3" s="160" t="str">
        <x:v>Used By</x:v>
      </x:c>
      <x:c r="F3" s="160" t="str">
        <x:v>Why It Exists</x:v>
      </x:c>
      <x:c r="G3" s="160" t="str">
        <x:v>Code Mapping</x:v>
      </x:c>
      <x:c r="H3" s="160" t="str">
        <x:v>Tuning Status</x:v>
      </x:c>
      <x:c r="I3" s="105"/>
      <x:c r="J3" s="105"/>
      <x:c r="K3" s="105"/>
      <x:c r="L3" s="105"/>
      <x:c r="M3" s="105"/>
      <x:c r="N3" s="105"/>
      <x:c r="O3" s="105"/>
      <x:c r="P3" s="105"/>
      <x:c r="Q3" s="105"/>
      <x:c r="R3" s="105"/>
      <x:c r="S3" s="105"/>
      <x:c r="T3" s="105"/>
      <x:c r="U3" s="105"/>
    </x:row>
    <x:row r="4">
      <x:c r="A4" s="105" t="str">
        <x:v>Customer Acquisition</x:v>
      </x:c>
      <x:c r="B4" s="105" t="str">
        <x:v>Commerce + Footfall + Road Access</x:v>
      </x:c>
      <x:c r="C4" s="105" t="str">
        <x:v>1 + weighted deviation from 50 baseline</x:v>
      </x:c>
      <x:c r="D4" s="105" t="str">
        <x:v>~0.80x–1.25x</x:v>
      </x:c>
      <x:c r="E4" s="105" t="str">
        <x:v>Customer-facing businesses</x:v>
      </x:c>
      <x:c r="F4" s="105" t="str">
        <x:v>Turns visible commerce/access into actual customer growth</x:v>
      </x:c>
      <x:c r="G4" s="105" t="str">
        <x:v>acquisitionMultiplier</x:v>
      </x:c>
      <x:c r="H4" s="105" t="str">
        <x:v>Linked</x:v>
      </x:c>
      <x:c r="I4" s="105"/>
      <x:c r="J4" s="105"/>
      <x:c r="K4" s="105"/>
      <x:c r="L4" s="105"/>
      <x:c r="M4" s="105"/>
      <x:c r="N4" s="105"/>
      <x:c r="O4" s="105"/>
      <x:c r="P4" s="105"/>
      <x:c r="Q4" s="105"/>
      <x:c r="R4" s="105"/>
      <x:c r="S4" s="105"/>
      <x:c r="T4" s="105"/>
      <x:c r="U4" s="105"/>
    </x:row>
    <x:row r="5">
      <x:c r="A5" s="105" t="str">
        <x:v>Premium Segment Mix</x:v>
      </x:c>
      <x:c r="B5" s="105" t="str">
        <x:v>Prestige + Capital Access + Amenity</x:v>
      </x:c>
      <x:c r="C5" s="105" t="str">
        <x:v>1 + weighted deviation from 50 baseline</x:v>
      </x:c>
      <x:c r="D5" s="105" t="str">
        <x:v>~0.85x–1.20x</x:v>
      </x:c>
      <x:c r="E5" s="105" t="str">
        <x:v>Affluent/HNW/institutional businesses</x:v>
      </x:c>
      <x:c r="F5" s="105" t="str">
        <x:v>Makes premium land change who shows up, not just raw output</x:v>
      </x:c>
      <x:c r="G5" s="105" t="str">
        <x:v>segmentMixMultiplier</x:v>
      </x:c>
      <x:c r="H5" s="105" t="str">
        <x:v>Linked</x:v>
      </x:c>
      <x:c r="I5" s="105"/>
      <x:c r="J5" s="105"/>
      <x:c r="K5" s="105"/>
      <x:c r="L5" s="105"/>
      <x:c r="M5" s="105"/>
      <x:c r="N5" s="105"/>
      <x:c r="O5" s="105"/>
      <x:c r="P5" s="105"/>
      <x:c r="Q5" s="105"/>
      <x:c r="R5" s="105"/>
      <x:c r="S5" s="105"/>
      <x:c r="T5" s="105"/>
      <x:c r="U5" s="105"/>
    </x:row>
    <x:row r="6">
      <x:c r="A6" s="105" t="str">
        <x:v>Operational Efficiency</x:v>
      </x:c>
      <x:c r="B6" s="105" t="str">
        <x:v>Data/Talent + Road Access + Commerce</x:v>
      </x:c>
      <x:c r="C6" s="105" t="str">
        <x:v>1 + weighted deviation from 50 baseline</x:v>
      </x:c>
      <x:c r="D6" s="105" t="str">
        <x:v>~0.90x–1.15x</x:v>
      </x:c>
      <x:c r="E6" s="105" t="str">
        <x:v>All; strongest for data/trading/fintech</x:v>
      </x:c>
      <x:c r="F6" s="105" t="str">
        <x:v>Maps talent and infrastructure to settlement efficiency</x:v>
      </x:c>
      <x:c r="G6" s="105" t="str">
        <x:v>operationalEfficiencyMultiplier</x:v>
      </x:c>
      <x:c r="H6" s="105" t="str">
        <x:v>Linked</x:v>
      </x:c>
      <x:c r="I6" s="105"/>
      <x:c r="J6" s="105"/>
      <x:c r="K6" s="105"/>
      <x:c r="L6" s="105"/>
      <x:c r="M6" s="105"/>
      <x:c r="N6" s="105"/>
      <x:c r="O6" s="105"/>
      <x:c r="P6" s="105"/>
      <x:c r="Q6" s="105"/>
      <x:c r="R6" s="105"/>
      <x:c r="S6" s="105"/>
      <x:c r="T6" s="105"/>
      <x:c r="U6" s="105"/>
    </x:row>
    <x:row r="7">
      <x:c r="A7" s="105" t="str">
        <x:v>Risk / Retention</x:v>
      </x:c>
      <x:c r="B7" s="105" t="str">
        <x:v>Security + Amenity + Prestige</x:v>
      </x:c>
      <x:c r="C7" s="105" t="str">
        <x:v>1 + weighted deviation from 50 baseline</x:v>
      </x:c>
      <x:c r="D7" s="105" t="str">
        <x:v>~0.90x–1.15x</x:v>
      </x:c>
      <x:c r="E7" s="105" t="str">
        <x:v>Custody, insurance, banks, wealth</x:v>
      </x:c>
      <x:c r="F7" s="105" t="str">
        <x:v>Maps safety/environment into losses and retention</x:v>
      </x:c>
      <x:c r="G7" s="105" t="str">
        <x:v>riskRetentionMultiplier</x:v>
      </x:c>
      <x:c r="H7" s="105" t="str">
        <x:v>Linked</x:v>
      </x:c>
      <x:c r="I7" s="105"/>
      <x:c r="J7" s="105"/>
      <x:c r="K7" s="105"/>
      <x:c r="L7" s="105"/>
      <x:c r="M7" s="105"/>
      <x:c r="N7" s="105"/>
      <x:c r="O7" s="105"/>
      <x:c r="P7" s="105"/>
      <x:c r="Q7" s="105"/>
      <x:c r="R7" s="105"/>
      <x:c r="S7" s="105"/>
      <x:c r="T7" s="105"/>
      <x:c r="U7" s="105"/>
    </x:row>
    <x:row r="8">
      <x:c r="A8" s="105"/>
      <x:c r="B8" s="105"/>
      <x:c r="C8" s="105"/>
      <x:c r="D8" s="105"/>
      <x:c r="E8" s="105"/>
      <x:c r="F8" s="105"/>
      <x:c r="G8" s="105"/>
      <x:c r="H8" s="105"/>
      <x:c r="I8" s="105"/>
      <x:c r="J8" s="105"/>
      <x:c r="K8" s="105"/>
      <x:c r="L8" s="105"/>
      <x:c r="M8" s="105"/>
      <x:c r="N8" s="105"/>
      <x:c r="O8" s="105"/>
      <x:c r="P8" s="105"/>
      <x:c r="Q8" s="105"/>
      <x:c r="R8" s="105"/>
      <x:c r="S8" s="105"/>
      <x:c r="T8" s="105"/>
      <x:c r="U8" s="105"/>
    </x:row>
    <x:row r="9">
      <x:c r="A9" s="105"/>
      <x:c r="B9" s="105"/>
      <x:c r="C9" s="105"/>
      <x:c r="D9" s="105"/>
      <x:c r="E9" s="105"/>
      <x:c r="F9" s="105"/>
      <x:c r="G9" s="105"/>
      <x:c r="H9" s="105"/>
      <x:c r="I9" s="105"/>
      <x:c r="J9" s="105"/>
      <x:c r="K9" s="105"/>
      <x:c r="L9" s="105"/>
      <x:c r="M9" s="105"/>
      <x:c r="N9" s="105"/>
      <x:c r="O9" s="105"/>
      <x:c r="P9" s="105"/>
      <x:c r="Q9" s="105"/>
      <x:c r="R9" s="105"/>
      <x:c r="S9" s="105"/>
      <x:c r="T9" s="105"/>
      <x:c r="U9" s="105"/>
    </x:row>
    <x:row r="10">
      <x:c r="A10" s="108" t="str">
        <x:v>Customer Segment</x:v>
      </x:c>
      <x:c r="B10" s="108" t="str">
        <x:v>Base Mix</x:v>
      </x:c>
      <x:c r="C10" s="108" t="str">
        <x:v>Revenue / Value Factor</x:v>
      </x:c>
      <x:c r="D10" s="108" t="str">
        <x:v>Prestige Sensitivity</x:v>
      </x:c>
      <x:c r="E10" s="108" t="str">
        <x:v>Capital Sensitivity</x:v>
      </x:c>
      <x:c r="F10" s="105"/>
      <x:c r="G10" s="105"/>
      <x:c r="H10" s="105"/>
      <x:c r="I10" s="105"/>
      <x:c r="J10" s="105"/>
      <x:c r="K10" s="105"/>
      <x:c r="L10" s="105"/>
      <x:c r="M10" s="105"/>
      <x:c r="N10" s="105"/>
      <x:c r="O10" s="105"/>
      <x:c r="P10" s="105"/>
      <x:c r="Q10" s="105"/>
      <x:c r="R10" s="105"/>
      <x:c r="S10" s="105"/>
      <x:c r="T10" s="105"/>
      <x:c r="U10" s="105"/>
    </x:row>
    <x:row r="11">
      <x:c r="A11" s="105" t="str">
        <x:v>Mass Retail</x:v>
      </x:c>
      <x:c r="B11" s="154" t="n">
        <x:v>0.45</x:v>
      </x:c>
      <x:c r="C11" s="161" t="n">
        <x:v>1</x:v>
      </x:c>
      <x:c r="D11" s="161" t="n">
        <x:v>0.1</x:v>
      </x:c>
      <x:c r="E11" s="161" t="n">
        <x:v>0.05</x:v>
      </x:c>
      <x:c r="F11" s="105"/>
      <x:c r="G11" s="105"/>
      <x:c r="H11" s="105"/>
      <x:c r="I11" s="105"/>
      <x:c r="J11" s="105"/>
      <x:c r="K11" s="105"/>
      <x:c r="L11" s="105"/>
      <x:c r="M11" s="105"/>
      <x:c r="N11" s="105"/>
      <x:c r="O11" s="105"/>
      <x:c r="P11" s="105"/>
      <x:c r="Q11" s="105"/>
      <x:c r="R11" s="105"/>
      <x:c r="S11" s="105"/>
      <x:c r="T11" s="105"/>
      <x:c r="U11" s="105"/>
    </x:row>
    <x:row r="12">
      <x:c r="A12" s="105" t="str">
        <x:v>SMB</x:v>
      </x:c>
      <x:c r="B12" s="154" t="n">
        <x:v>0.2</x:v>
      </x:c>
      <x:c r="C12" s="161" t="n">
        <x:v>1.4</x:v>
      </x:c>
      <x:c r="D12" s="161" t="n">
        <x:v>0.15</x:v>
      </x:c>
      <x:c r="E12" s="161" t="n">
        <x:v>0.15</x:v>
      </x:c>
      <x:c r="F12" s="105"/>
      <x:c r="G12" s="105"/>
      <x:c r="H12" s="105"/>
      <x:c r="I12" s="105"/>
      <x:c r="J12" s="105"/>
      <x:c r="K12" s="105"/>
      <x:c r="L12" s="105"/>
      <x:c r="M12" s="105"/>
      <x:c r="N12" s="105"/>
      <x:c r="O12" s="105"/>
      <x:c r="P12" s="105"/>
      <x:c r="Q12" s="105"/>
      <x:c r="R12" s="105"/>
      <x:c r="S12" s="105"/>
      <x:c r="T12" s="105"/>
      <x:c r="U12" s="105"/>
    </x:row>
    <x:row r="13">
      <x:c r="A13" s="105" t="str">
        <x:v>Affluent</x:v>
      </x:c>
      <x:c r="B13" s="154" t="n">
        <x:v>0.18</x:v>
      </x:c>
      <x:c r="C13" s="161" t="n">
        <x:v>2</x:v>
      </x:c>
      <x:c r="D13" s="161" t="n">
        <x:v>0.4</x:v>
      </x:c>
      <x:c r="E13" s="161" t="n">
        <x:v>0.25</x:v>
      </x:c>
      <x:c r="F13" s="105"/>
      <x:c r="G13" s="105"/>
      <x:c r="H13" s="105"/>
      <x:c r="I13" s="105"/>
      <x:c r="J13" s="105"/>
      <x:c r="K13" s="105"/>
      <x:c r="L13" s="105"/>
      <x:c r="M13" s="105"/>
      <x:c r="N13" s="105"/>
      <x:c r="O13" s="105"/>
      <x:c r="P13" s="105"/>
      <x:c r="Q13" s="105"/>
      <x:c r="R13" s="105"/>
      <x:c r="S13" s="105"/>
      <x:c r="T13" s="105"/>
      <x:c r="U13" s="105"/>
    </x:row>
    <x:row r="14">
      <x:c r="A14" s="105" t="str">
        <x:v>HNW</x:v>
      </x:c>
      <x:c r="B14" s="154" t="n">
        <x:v>0.12</x:v>
      </x:c>
      <x:c r="C14" s="161" t="n">
        <x:v>3.5</x:v>
      </x:c>
      <x:c r="D14" s="161" t="n">
        <x:v>0.7</x:v>
      </x:c>
      <x:c r="E14" s="161" t="n">
        <x:v>0.55</x:v>
      </x:c>
      <x:c r="F14" s="105"/>
      <x:c r="G14" s="105"/>
      <x:c r="H14" s="105"/>
      <x:c r="I14" s="105"/>
      <x:c r="J14" s="105"/>
      <x:c r="K14" s="105"/>
      <x:c r="L14" s="105"/>
      <x:c r="M14" s="105"/>
      <x:c r="N14" s="105"/>
      <x:c r="O14" s="105"/>
      <x:c r="P14" s="105"/>
      <x:c r="Q14" s="105"/>
      <x:c r="R14" s="105"/>
      <x:c r="S14" s="105"/>
      <x:c r="T14" s="105"/>
      <x:c r="U14" s="105"/>
    </x:row>
    <x:row r="15">
      <x:c r="A15" s="105" t="str">
        <x:v>Institutional</x:v>
      </x:c>
      <x:c r="B15" s="154" t="n">
        <x:v>0.05</x:v>
      </x:c>
      <x:c r="C15" s="161" t="n">
        <x:v>5</x:v>
      </x:c>
      <x:c r="D15" s="161" t="n">
        <x:v>0.8</x:v>
      </x:c>
      <x:c r="E15" s="161" t="n">
        <x:v>0.9</x:v>
      </x:c>
      <x:c r="F15" s="105"/>
      <x:c r="G15" s="105"/>
      <x:c r="H15" s="105"/>
      <x:c r="I15" s="105"/>
      <x:c r="J15" s="105"/>
      <x:c r="K15" s="105"/>
      <x:c r="L15" s="105"/>
      <x:c r="M15" s="105"/>
      <x:c r="N15" s="105"/>
      <x:c r="O15" s="105"/>
      <x:c r="P15" s="105"/>
      <x:c r="Q15" s="105"/>
      <x:c r="R15" s="105"/>
      <x:c r="S15" s="105"/>
      <x:c r="T15" s="105"/>
      <x:c r="U15" s="105"/>
    </x:row>
    <x:row r="16">
      <x:c r="A16" s="105"/>
      <x:c r="B16" s="105"/>
      <x:c r="C16" s="105"/>
      <x:c r="D16" s="105"/>
      <x:c r="E16" s="105"/>
      <x:c r="F16" s="105"/>
      <x:c r="G16" s="105"/>
      <x:c r="H16" s="105"/>
      <x:c r="I16" s="105"/>
      <x:c r="J16" s="105"/>
      <x:c r="K16" s="105"/>
      <x:c r="L16" s="105"/>
      <x:c r="M16" s="105"/>
      <x:c r="N16" s="105"/>
      <x:c r="O16" s="105"/>
      <x:c r="P16" s="105"/>
      <x:c r="Q16" s="105"/>
      <x:c r="R16" s="105"/>
      <x:c r="S16" s="105"/>
      <x:c r="T16" s="105"/>
      <x:c r="U16" s="105"/>
    </x:row>
    <x:row r="17">
      <x:c r="A17" s="105"/>
      <x:c r="B17" s="105"/>
      <x:c r="C17" s="105"/>
      <x:c r="D17" s="105"/>
      <x:c r="E17" s="105"/>
      <x:c r="F17" s="105"/>
      <x:c r="G17" s="105"/>
      <x:c r="H17" s="105"/>
      <x:c r="I17" s="105"/>
      <x:c r="J17" s="105"/>
      <x:c r="K17" s="105"/>
      <x:c r="L17" s="105"/>
      <x:c r="M17" s="105"/>
      <x:c r="N17" s="105"/>
      <x:c r="O17" s="105"/>
      <x:c r="P17" s="105"/>
      <x:c r="Q17" s="105"/>
      <x:c r="R17" s="105"/>
      <x:c r="S17" s="105"/>
      <x:c r="T17" s="105"/>
      <x:c r="U17" s="105"/>
    </x:row>
    <x:row r="18">
      <x:c r="A18" s="105"/>
      <x:c r="B18" s="105"/>
      <x:c r="C18" s="105"/>
      <x:c r="D18" s="105"/>
      <x:c r="E18" s="105"/>
      <x:c r="F18" s="105"/>
      <x:c r="G18" s="105"/>
      <x:c r="H18" s="105"/>
      <x:c r="I18" s="105"/>
      <x:c r="J18" s="105"/>
      <x:c r="K18" s="105"/>
      <x:c r="L18" s="105"/>
      <x:c r="M18" s="105"/>
      <x:c r="N18" s="105"/>
      <x:c r="O18" s="105"/>
      <x:c r="P18" s="105"/>
      <x:c r="Q18" s="105"/>
      <x:c r="R18" s="105"/>
      <x:c r="S18" s="105"/>
      <x:c r="T18" s="105"/>
      <x:c r="U18" s="105"/>
    </x:row>
    <x:row r="19">
      <x:c r="A19" s="105"/>
      <x:c r="B19" s="105"/>
      <x:c r="C19" s="105"/>
      <x:c r="D19" s="105"/>
      <x:c r="E19" s="105"/>
      <x:c r="F19" s="105"/>
      <x:c r="G19" s="105"/>
      <x:c r="H19" s="105"/>
      <x:c r="I19" s="105"/>
      <x:c r="J19" s="105"/>
      <x:c r="K19" s="105"/>
      <x:c r="L19" s="105"/>
      <x:c r="M19" s="105"/>
      <x:c r="N19" s="105"/>
      <x:c r="O19" s="105"/>
      <x:c r="P19" s="105"/>
      <x:c r="Q19" s="105"/>
      <x:c r="R19" s="105"/>
      <x:c r="S19" s="105"/>
      <x:c r="T19" s="105"/>
      <x:c r="U19" s="105"/>
    </x:row>
    <x:row r="20">
      <x:c r="A20" s="105"/>
      <x:c r="B20" s="105"/>
      <x:c r="C20" s="105"/>
      <x:c r="D20" s="105"/>
      <x:c r="E20" s="105"/>
      <x:c r="F20" s="105"/>
      <x:c r="G20" s="105"/>
      <x:c r="H20" s="105"/>
      <x:c r="I20" s="105"/>
      <x:c r="J20" s="105"/>
      <x:c r="K20" s="105"/>
      <x:c r="L20" s="105"/>
      <x:c r="M20" s="105"/>
      <x:c r="N20" s="105"/>
      <x:c r="O20" s="105"/>
      <x:c r="P20" s="105"/>
      <x:c r="Q20" s="105"/>
      <x:c r="R20" s="105"/>
      <x:c r="S20" s="105"/>
      <x:c r="T20" s="105"/>
      <x:c r="U20" s="105"/>
    </x:row>
    <x:row r="21">
      <x:c r="A21" s="105"/>
      <x:c r="B21" s="105"/>
      <x:c r="C21" s="105"/>
      <x:c r="D21" s="105"/>
      <x:c r="E21" s="105"/>
      <x:c r="F21" s="105"/>
      <x:c r="G21" s="105"/>
      <x:c r="H21" s="105"/>
      <x:c r="I21" s="105"/>
      <x:c r="J21" s="105"/>
      <x:c r="K21" s="105"/>
      <x:c r="L21" s="105"/>
      <x:c r="M21" s="105"/>
      <x:c r="N21" s="105"/>
      <x:c r="O21" s="105"/>
      <x:c r="P21" s="105"/>
      <x:c r="Q21" s="105"/>
      <x:c r="R21" s="105"/>
      <x:c r="S21" s="105"/>
      <x:c r="T21" s="105"/>
      <x:c r="U21" s="105"/>
    </x:row>
    <x:row r="22">
      <x:c r="A22" s="105"/>
      <x:c r="B22" s="105"/>
      <x:c r="C22" s="105"/>
      <x:c r="D22" s="105"/>
      <x:c r="E22" s="105"/>
      <x:c r="F22" s="105"/>
      <x:c r="G22" s="105"/>
      <x:c r="H22" s="105"/>
      <x:c r="I22" s="105"/>
      <x:c r="J22" s="105"/>
      <x:c r="K22" s="105"/>
      <x:c r="L22" s="105"/>
      <x:c r="M22" s="105"/>
      <x:c r="N22" s="105"/>
      <x:c r="O22" s="105"/>
      <x:c r="P22" s="105"/>
      <x:c r="Q22" s="105"/>
      <x:c r="R22" s="105"/>
      <x:c r="S22" s="105"/>
      <x:c r="T22" s="105"/>
      <x:c r="U22" s="105"/>
    </x:row>
    <x:row r="23">
      <x:c r="A23" s="105"/>
      <x:c r="B23" s="105"/>
      <x:c r="C23" s="105"/>
      <x:c r="D23" s="105"/>
      <x:c r="E23" s="105"/>
      <x:c r="F23" s="105"/>
      <x:c r="G23" s="105"/>
      <x:c r="H23" s="105"/>
      <x:c r="I23" s="105"/>
      <x:c r="J23" s="105"/>
      <x:c r="K23" s="105"/>
      <x:c r="L23" s="105"/>
      <x:c r="M23" s="105"/>
      <x:c r="N23" s="105"/>
      <x:c r="O23" s="105"/>
      <x:c r="P23" s="105"/>
      <x:c r="Q23" s="105"/>
      <x:c r="R23" s="105"/>
      <x:c r="S23" s="105"/>
      <x:c r="T23" s="105"/>
      <x:c r="U23" s="105"/>
    </x:row>
    <x:row r="24">
      <x:c r="A24" s="105"/>
      <x:c r="B24" s="105"/>
      <x:c r="C24" s="105"/>
      <x:c r="D24" s="105"/>
      <x:c r="E24" s="105"/>
      <x:c r="F24" s="105"/>
      <x:c r="G24" s="105"/>
      <x:c r="H24" s="105"/>
      <x:c r="I24" s="105"/>
      <x:c r="J24" s="105"/>
      <x:c r="K24" s="105"/>
      <x:c r="L24" s="105"/>
      <x:c r="M24" s="105"/>
      <x:c r="N24" s="105"/>
      <x:c r="O24" s="105"/>
      <x:c r="P24" s="105"/>
      <x:c r="Q24" s="105"/>
      <x:c r="R24" s="105"/>
      <x:c r="S24" s="105"/>
      <x:c r="T24" s="105"/>
      <x:c r="U24" s="105"/>
    </x:row>
    <x:row r="25">
      <x:c r="A25" s="105"/>
      <x:c r="B25" s="105"/>
      <x:c r="C25" s="105"/>
      <x:c r="D25" s="105"/>
      <x:c r="E25" s="105"/>
      <x:c r="F25" s="105"/>
      <x:c r="G25" s="105"/>
      <x:c r="H25" s="105"/>
      <x:c r="I25" s="105"/>
      <x:c r="J25" s="105"/>
      <x:c r="K25" s="105"/>
      <x:c r="L25" s="105"/>
      <x:c r="M25" s="105"/>
      <x:c r="N25" s="105"/>
      <x:c r="O25" s="105"/>
      <x:c r="P25" s="105"/>
      <x:c r="Q25" s="105"/>
      <x:c r="R25" s="105"/>
      <x:c r="S25" s="105"/>
      <x:c r="T25" s="105"/>
      <x:c r="U25" s="105"/>
    </x:row>
    <x:row r="26">
      <x:c r="A26" s="105"/>
      <x:c r="B26" s="105"/>
      <x:c r="C26" s="105"/>
      <x:c r="D26" s="105"/>
      <x:c r="E26" s="105"/>
      <x:c r="F26" s="105"/>
      <x:c r="G26" s="105"/>
      <x:c r="H26" s="105"/>
      <x:c r="I26" s="105"/>
      <x:c r="J26" s="105"/>
      <x:c r="K26" s="105"/>
      <x:c r="L26" s="105"/>
      <x:c r="M26" s="105"/>
      <x:c r="N26" s="105"/>
      <x:c r="O26" s="105"/>
      <x:c r="P26" s="105"/>
      <x:c r="Q26" s="105"/>
      <x:c r="R26" s="105"/>
      <x:c r="S26" s="105"/>
      <x:c r="T26" s="105"/>
      <x:c r="U26" s="105"/>
    </x:row>
    <x:row r="27">
      <x:c r="A27" s="105"/>
      <x:c r="B27" s="105"/>
      <x:c r="C27" s="105"/>
      <x:c r="D27" s="105"/>
      <x:c r="E27" s="105"/>
      <x:c r="F27" s="105"/>
      <x:c r="G27" s="105"/>
      <x:c r="H27" s="105"/>
      <x:c r="I27" s="105"/>
      <x:c r="J27" s="105"/>
      <x:c r="K27" s="105"/>
      <x:c r="L27" s="105"/>
      <x:c r="M27" s="105"/>
      <x:c r="N27" s="105"/>
      <x:c r="O27" s="105"/>
      <x:c r="P27" s="105"/>
      <x:c r="Q27" s="105"/>
      <x:c r="R27" s="105"/>
      <x:c r="S27" s="105"/>
      <x:c r="T27" s="105"/>
      <x:c r="U27" s="105"/>
    </x:row>
    <x:row r="28">
      <x:c r="A28" s="105"/>
      <x:c r="B28" s="105"/>
      <x:c r="C28" s="105"/>
      <x:c r="D28" s="105"/>
      <x:c r="E28" s="105"/>
      <x:c r="F28" s="105"/>
      <x:c r="G28" s="105"/>
      <x:c r="H28" s="105"/>
      <x:c r="I28" s="105"/>
      <x:c r="J28" s="105"/>
      <x:c r="K28" s="105"/>
      <x:c r="L28" s="105"/>
      <x:c r="M28" s="105"/>
      <x:c r="N28" s="105"/>
      <x:c r="O28" s="105"/>
      <x:c r="P28" s="105"/>
      <x:c r="Q28" s="105"/>
      <x:c r="R28" s="105"/>
      <x:c r="S28" s="105"/>
      <x:c r="T28" s="105"/>
      <x:c r="U28" s="105"/>
    </x:row>
    <x:row r="29">
      <x:c r="A29" s="105"/>
      <x:c r="B29" s="105"/>
      <x:c r="C29" s="105"/>
      <x:c r="D29" s="105"/>
      <x:c r="E29" s="105"/>
      <x:c r="F29" s="105"/>
      <x:c r="G29" s="105"/>
      <x:c r="H29" s="105"/>
      <x:c r="I29" s="105"/>
      <x:c r="J29" s="105"/>
      <x:c r="K29" s="105"/>
      <x:c r="L29" s="105"/>
      <x:c r="M29" s="105"/>
      <x:c r="N29" s="105"/>
      <x:c r="O29" s="105"/>
      <x:c r="P29" s="105"/>
      <x:c r="Q29" s="105"/>
      <x:c r="R29" s="105"/>
      <x:c r="S29" s="105"/>
      <x:c r="T29" s="105"/>
      <x:c r="U29" s="105"/>
    </x:row>
    <x:row r="30">
      <x:c r="A30" s="105"/>
      <x:c r="B30" s="105"/>
      <x:c r="C30" s="105"/>
      <x:c r="D30" s="105"/>
      <x:c r="E30" s="105"/>
      <x:c r="F30" s="105"/>
      <x:c r="G30" s="105"/>
      <x:c r="H30" s="105"/>
      <x:c r="I30" s="105"/>
      <x:c r="J30" s="105"/>
      <x:c r="K30" s="105"/>
      <x:c r="L30" s="105"/>
      <x:c r="M30" s="105"/>
      <x:c r="N30" s="105"/>
      <x:c r="O30" s="105"/>
      <x:c r="P30" s="105"/>
      <x:c r="Q30" s="105"/>
      <x:c r="R30" s="105"/>
      <x:c r="S30" s="105"/>
      <x:c r="T30" s="105"/>
      <x:c r="U30" s="105"/>
    </x:row>
    <x:row r="31">
      <x:c r="A31" s="105"/>
      <x:c r="B31" s="105"/>
      <x:c r="C31" s="105"/>
      <x:c r="D31" s="105"/>
      <x:c r="E31" s="105"/>
      <x:c r="F31" s="105"/>
      <x:c r="G31" s="105"/>
      <x:c r="H31" s="105"/>
      <x:c r="I31" s="105"/>
      <x:c r="J31" s="105"/>
      <x:c r="K31" s="105"/>
      <x:c r="L31" s="105"/>
      <x:c r="M31" s="105"/>
      <x:c r="N31" s="105"/>
      <x:c r="O31" s="105"/>
      <x:c r="P31" s="105"/>
      <x:c r="Q31" s="105"/>
      <x:c r="R31" s="105"/>
      <x:c r="S31" s="105"/>
      <x:c r="T31" s="105"/>
      <x:c r="U31" s="105"/>
    </x:row>
    <x:row r="32">
      <x:c r="A32" s="105"/>
      <x:c r="B32" s="105"/>
      <x:c r="C32" s="105"/>
      <x:c r="D32" s="105"/>
      <x:c r="E32" s="105"/>
      <x:c r="F32" s="105"/>
      <x:c r="G32" s="105"/>
      <x:c r="H32" s="105"/>
      <x:c r="I32" s="105"/>
      <x:c r="J32" s="105"/>
      <x:c r="K32" s="105"/>
      <x:c r="L32" s="105"/>
      <x:c r="M32" s="105"/>
      <x:c r="N32" s="105"/>
      <x:c r="O32" s="105"/>
      <x:c r="P32" s="105"/>
      <x:c r="Q32" s="105"/>
      <x:c r="R32" s="105"/>
      <x:c r="S32" s="105"/>
      <x:c r="T32" s="105"/>
      <x:c r="U32" s="105"/>
    </x:row>
    <x:row r="33">
      <x:c r="A33" s="105"/>
      <x:c r="B33" s="105"/>
      <x:c r="C33" s="105"/>
      <x:c r="D33" s="105"/>
      <x:c r="E33" s="105"/>
      <x:c r="F33" s="105"/>
      <x:c r="G33" s="105"/>
      <x:c r="H33" s="105"/>
      <x:c r="I33" s="105"/>
      <x:c r="J33" s="105"/>
      <x:c r="K33" s="105"/>
      <x:c r="L33" s="105"/>
      <x:c r="M33" s="105"/>
      <x:c r="N33" s="105"/>
      <x:c r="O33" s="105"/>
      <x:c r="P33" s="105"/>
      <x:c r="Q33" s="105"/>
      <x:c r="R33" s="105"/>
      <x:c r="S33" s="105"/>
      <x:c r="T33" s="105"/>
      <x:c r="U33" s="105"/>
    </x:row>
    <x:row r="34">
      <x:c r="A34" s="105"/>
      <x:c r="B34" s="105"/>
      <x:c r="C34" s="105"/>
      <x:c r="D34" s="105"/>
      <x:c r="E34" s="105"/>
      <x:c r="F34" s="105"/>
      <x:c r="G34" s="105"/>
      <x:c r="H34" s="105"/>
      <x:c r="I34" s="105"/>
      <x:c r="J34" s="105"/>
      <x:c r="K34" s="105"/>
      <x:c r="L34" s="105"/>
      <x:c r="M34" s="105"/>
      <x:c r="N34" s="105"/>
      <x:c r="O34" s="105"/>
      <x:c r="P34" s="105"/>
      <x:c r="Q34" s="105"/>
      <x:c r="R34" s="105"/>
      <x:c r="S34" s="105"/>
      <x:c r="T34" s="105"/>
      <x:c r="U34" s="105"/>
    </x:row>
    <x:row r="35">
      <x:c r="A35" s="105"/>
      <x:c r="B35" s="105"/>
      <x:c r="C35" s="105"/>
      <x:c r="D35" s="105"/>
      <x:c r="E35" s="105"/>
      <x:c r="F35" s="105"/>
      <x:c r="G35" s="105"/>
      <x:c r="H35" s="105"/>
      <x:c r="I35" s="105"/>
      <x:c r="J35" s="105"/>
      <x:c r="K35" s="105"/>
      <x:c r="L35" s="105"/>
      <x:c r="M35" s="105"/>
      <x:c r="N35" s="105"/>
      <x:c r="O35" s="105"/>
      <x:c r="P35" s="105"/>
      <x:c r="Q35" s="105"/>
      <x:c r="R35" s="105"/>
      <x:c r="S35" s="105"/>
      <x:c r="T35" s="105"/>
      <x:c r="U35" s="105"/>
    </x:row>
    <x:row r="36">
      <x:c r="A36" s="105"/>
      <x:c r="B36" s="105"/>
      <x:c r="C36" s="105"/>
      <x:c r="D36" s="105"/>
      <x:c r="E36" s="105"/>
      <x:c r="F36" s="105"/>
      <x:c r="G36" s="105"/>
      <x:c r="H36" s="105"/>
      <x:c r="I36" s="105"/>
      <x:c r="J36" s="105"/>
      <x:c r="K36" s="105"/>
      <x:c r="L36" s="105"/>
      <x:c r="M36" s="105"/>
      <x:c r="N36" s="105"/>
      <x:c r="O36" s="105"/>
      <x:c r="P36" s="105"/>
      <x:c r="Q36" s="105"/>
      <x:c r="R36" s="105"/>
      <x:c r="S36" s="105"/>
      <x:c r="T36" s="105"/>
      <x:c r="U36" s="105"/>
    </x:row>
    <x:row r="37">
      <x:c r="A37" s="105"/>
      <x:c r="B37" s="105"/>
      <x:c r="C37" s="105"/>
      <x:c r="D37" s="105"/>
      <x:c r="E37" s="105"/>
      <x:c r="F37" s="105"/>
      <x:c r="G37" s="105"/>
      <x:c r="H37" s="105"/>
      <x:c r="I37" s="105"/>
      <x:c r="J37" s="105"/>
      <x:c r="K37" s="105"/>
      <x:c r="L37" s="105"/>
      <x:c r="M37" s="105"/>
      <x:c r="N37" s="105"/>
      <x:c r="O37" s="105"/>
      <x:c r="P37" s="105"/>
      <x:c r="Q37" s="105"/>
      <x:c r="R37" s="105"/>
      <x:c r="S37" s="105"/>
      <x:c r="T37" s="105"/>
      <x:c r="U37" s="105"/>
    </x:row>
    <x:row r="38">
      <x:c r="A38" s="105"/>
      <x:c r="B38" s="105"/>
      <x:c r="C38" s="105"/>
      <x:c r="D38" s="105"/>
      <x:c r="E38" s="105"/>
      <x:c r="F38" s="105"/>
      <x:c r="G38" s="105"/>
      <x:c r="H38" s="105"/>
      <x:c r="I38" s="105"/>
      <x:c r="J38" s="105"/>
      <x:c r="K38" s="105"/>
      <x:c r="L38" s="105"/>
      <x:c r="M38" s="105"/>
      <x:c r="N38" s="105"/>
      <x:c r="O38" s="105"/>
      <x:c r="P38" s="105"/>
      <x:c r="Q38" s="105"/>
      <x:c r="R38" s="105"/>
      <x:c r="S38" s="105"/>
      <x:c r="T38" s="105"/>
      <x:c r="U38" s="105"/>
    </x:row>
    <x:row r="39">
      <x:c r="A39" s="105"/>
      <x:c r="B39" s="105"/>
      <x:c r="C39" s="105"/>
      <x:c r="D39" s="105"/>
      <x:c r="E39" s="105"/>
      <x:c r="F39" s="105"/>
      <x:c r="G39" s="105"/>
      <x:c r="H39" s="105"/>
      <x:c r="I39" s="105"/>
      <x:c r="J39" s="105"/>
      <x:c r="K39" s="105"/>
      <x:c r="L39" s="105"/>
      <x:c r="M39" s="105"/>
      <x:c r="N39" s="105"/>
      <x:c r="O39" s="105"/>
      <x:c r="P39" s="105"/>
      <x:c r="Q39" s="105"/>
      <x:c r="R39" s="105"/>
      <x:c r="S39" s="105"/>
      <x:c r="T39" s="105"/>
      <x:c r="U39" s="105"/>
    </x:row>
    <x:row r="40">
      <x:c r="A40" s="105"/>
      <x:c r="B40" s="105"/>
      <x:c r="C40" s="105"/>
      <x:c r="D40" s="105"/>
      <x:c r="E40" s="105"/>
      <x:c r="F40" s="105"/>
      <x:c r="G40" s="105"/>
      <x:c r="H40" s="105"/>
      <x:c r="I40" s="105"/>
      <x:c r="J40" s="105"/>
      <x:c r="K40" s="105"/>
      <x:c r="L40" s="105"/>
      <x:c r="M40" s="105"/>
      <x:c r="N40" s="105"/>
      <x:c r="O40" s="105"/>
      <x:c r="P40" s="105"/>
      <x:c r="Q40" s="105"/>
      <x:c r="R40" s="105"/>
      <x:c r="S40" s="105"/>
      <x:c r="T40" s="105"/>
      <x:c r="U40" s="105"/>
    </x:row>
    <x:row r="41">
      <x:c r="A41" s="105"/>
      <x:c r="B41" s="105"/>
      <x:c r="C41" s="105"/>
      <x:c r="D41" s="105"/>
      <x:c r="E41" s="105"/>
      <x:c r="F41" s="105"/>
      <x:c r="G41" s="105"/>
      <x:c r="H41" s="105"/>
      <x:c r="I41" s="105"/>
      <x:c r="J41" s="105"/>
      <x:c r="K41" s="105"/>
      <x:c r="L41" s="105"/>
      <x:c r="M41" s="105"/>
      <x:c r="N41" s="105"/>
      <x:c r="O41" s="105"/>
      <x:c r="P41" s="105"/>
      <x:c r="Q41" s="105"/>
      <x:c r="R41" s="105"/>
      <x:c r="S41" s="105"/>
      <x:c r="T41" s="105"/>
      <x:c r="U41" s="105"/>
    </x:row>
    <x:row r="42">
      <x:c r="A42" s="105"/>
      <x:c r="B42" s="105"/>
      <x:c r="C42" s="105"/>
      <x:c r="D42" s="105"/>
      <x:c r="E42" s="105"/>
      <x:c r="F42" s="105"/>
      <x:c r="G42" s="105"/>
      <x:c r="H42" s="105"/>
      <x:c r="I42" s="105"/>
      <x:c r="J42" s="105"/>
      <x:c r="K42" s="105"/>
      <x:c r="L42" s="105"/>
      <x:c r="M42" s="105"/>
      <x:c r="N42" s="105"/>
      <x:c r="O42" s="105"/>
      <x:c r="P42" s="105"/>
      <x:c r="Q42" s="105"/>
      <x:c r="R42" s="105"/>
      <x:c r="S42" s="105"/>
      <x:c r="T42" s="105"/>
      <x:c r="U42" s="105"/>
    </x:row>
    <x:row r="43">
      <x:c r="A43" s="105"/>
      <x:c r="B43" s="105"/>
      <x:c r="C43" s="105"/>
      <x:c r="D43" s="105"/>
      <x:c r="E43" s="105"/>
      <x:c r="F43" s="105"/>
      <x:c r="G43" s="105"/>
      <x:c r="H43" s="105"/>
      <x:c r="I43" s="105"/>
      <x:c r="J43" s="105"/>
      <x:c r="K43" s="105"/>
      <x:c r="L43" s="105"/>
      <x:c r="M43" s="105"/>
      <x:c r="N43" s="105"/>
      <x:c r="O43" s="105"/>
      <x:c r="P43" s="105"/>
      <x:c r="Q43" s="105"/>
      <x:c r="R43" s="105"/>
      <x:c r="S43" s="105"/>
      <x:c r="T43" s="105"/>
      <x:c r="U43" s="105"/>
    </x:row>
    <x:row r="44">
      <x:c r="A44" s="105"/>
      <x:c r="B44" s="105"/>
      <x:c r="C44" s="105"/>
      <x:c r="D44" s="105"/>
      <x:c r="E44" s="105"/>
      <x:c r="F44" s="105"/>
      <x:c r="G44" s="105"/>
      <x:c r="H44" s="105"/>
      <x:c r="I44" s="105"/>
      <x:c r="J44" s="105"/>
      <x:c r="K44" s="105"/>
      <x:c r="L44" s="105"/>
      <x:c r="M44" s="105"/>
      <x:c r="N44" s="105"/>
      <x:c r="O44" s="105"/>
      <x:c r="P44" s="105"/>
      <x:c r="Q44" s="105"/>
      <x:c r="R44" s="105"/>
      <x:c r="S44" s="105"/>
      <x:c r="T44" s="105"/>
      <x:c r="U44" s="105"/>
    </x:row>
    <x:row r="45">
      <x:c r="A45" s="105"/>
      <x:c r="B45" s="105"/>
      <x:c r="C45" s="105"/>
      <x:c r="D45" s="105"/>
      <x:c r="E45" s="105"/>
      <x:c r="F45" s="105"/>
      <x:c r="G45" s="105"/>
      <x:c r="H45" s="105"/>
      <x:c r="I45" s="105"/>
      <x:c r="J45" s="105"/>
      <x:c r="K45" s="105"/>
      <x:c r="L45" s="105"/>
      <x:c r="M45" s="105"/>
      <x:c r="N45" s="105"/>
      <x:c r="O45" s="105"/>
      <x:c r="P45" s="105"/>
      <x:c r="Q45" s="105"/>
      <x:c r="R45" s="105"/>
      <x:c r="S45" s="105"/>
      <x:c r="T45" s="105"/>
      <x:c r="U45" s="105"/>
    </x:row>
    <x:row r="46">
      <x:c r="A46" s="105"/>
      <x:c r="B46" s="105"/>
      <x:c r="C46" s="105"/>
      <x:c r="D46" s="105"/>
      <x:c r="E46" s="105"/>
      <x:c r="F46" s="105"/>
      <x:c r="G46" s="105"/>
      <x:c r="H46" s="105"/>
      <x:c r="I46" s="105"/>
      <x:c r="J46" s="105"/>
      <x:c r="K46" s="105"/>
      <x:c r="L46" s="105"/>
      <x:c r="M46" s="105"/>
      <x:c r="N46" s="105"/>
      <x:c r="O46" s="105"/>
      <x:c r="P46" s="105"/>
      <x:c r="Q46" s="105"/>
      <x:c r="R46" s="105"/>
      <x:c r="S46" s="105"/>
      <x:c r="T46" s="105"/>
      <x:c r="U46" s="105"/>
    </x:row>
    <x:row r="47">
      <x:c r="A47" s="105"/>
      <x:c r="B47" s="105"/>
      <x:c r="C47" s="105"/>
      <x:c r="D47" s="105"/>
      <x:c r="E47" s="105"/>
      <x:c r="F47" s="105"/>
      <x:c r="G47" s="105"/>
      <x:c r="H47" s="105"/>
      <x:c r="I47" s="105"/>
      <x:c r="J47" s="105"/>
      <x:c r="K47" s="105"/>
      <x:c r="L47" s="105"/>
      <x:c r="M47" s="105"/>
      <x:c r="N47" s="105"/>
      <x:c r="O47" s="105"/>
      <x:c r="P47" s="105"/>
      <x:c r="Q47" s="105"/>
      <x:c r="R47" s="105"/>
      <x:c r="S47" s="105"/>
      <x:c r="T47" s="105"/>
      <x:c r="U47" s="105"/>
    </x:row>
    <x:row r="48">
      <x:c r="A48" s="105"/>
      <x:c r="B48" s="105"/>
      <x:c r="C48" s="105"/>
      <x:c r="D48" s="105"/>
      <x:c r="E48" s="105"/>
      <x:c r="F48" s="105"/>
      <x:c r="G48" s="105"/>
      <x:c r="H48" s="105"/>
      <x:c r="I48" s="105"/>
      <x:c r="J48" s="105"/>
      <x:c r="K48" s="105"/>
      <x:c r="L48" s="105"/>
      <x:c r="M48" s="105"/>
      <x:c r="N48" s="105"/>
      <x:c r="O48" s="105"/>
      <x:c r="P48" s="105"/>
      <x:c r="Q48" s="105"/>
      <x:c r="R48" s="105"/>
      <x:c r="S48" s="105"/>
      <x:c r="T48" s="105"/>
      <x:c r="U48" s="105"/>
    </x:row>
    <x:row r="49">
      <x:c r="A49" s="105"/>
      <x:c r="B49" s="105"/>
      <x:c r="C49" s="105"/>
      <x:c r="D49" s="105"/>
      <x:c r="E49" s="105"/>
      <x:c r="F49" s="105"/>
      <x:c r="G49" s="105"/>
      <x:c r="H49" s="105"/>
      <x:c r="I49" s="105"/>
      <x:c r="J49" s="105"/>
      <x:c r="K49" s="105"/>
      <x:c r="L49" s="105"/>
      <x:c r="M49" s="105"/>
      <x:c r="N49" s="105"/>
      <x:c r="O49" s="105"/>
      <x:c r="P49" s="105"/>
      <x:c r="Q49" s="105"/>
      <x:c r="R49" s="105"/>
      <x:c r="S49" s="105"/>
      <x:c r="T49" s="105"/>
      <x:c r="U49" s="105"/>
    </x:row>
    <x:row r="50">
      <x:c r="A50" s="105"/>
      <x:c r="B50" s="105"/>
      <x:c r="C50" s="105"/>
      <x:c r="D50" s="105"/>
      <x:c r="E50" s="105"/>
      <x:c r="F50" s="105"/>
      <x:c r="G50" s="105"/>
      <x:c r="H50" s="105"/>
      <x:c r="I50" s="105"/>
      <x:c r="J50" s="105"/>
      <x:c r="K50" s="105"/>
      <x:c r="L50" s="105"/>
      <x:c r="M50" s="105"/>
      <x:c r="N50" s="105"/>
      <x:c r="O50" s="105"/>
      <x:c r="P50" s="105"/>
      <x:c r="Q50" s="105"/>
      <x:c r="R50" s="105"/>
      <x:c r="S50" s="105"/>
      <x:c r="T50" s="105"/>
      <x:c r="U50" s="105"/>
    </x:row>
    <x:row r="51">
      <x:c r="A51" s="105"/>
      <x:c r="B51" s="105"/>
      <x:c r="C51" s="105"/>
      <x:c r="D51" s="105"/>
      <x:c r="E51" s="105"/>
      <x:c r="F51" s="105"/>
      <x:c r="G51" s="105"/>
      <x:c r="H51" s="105"/>
      <x:c r="I51" s="105"/>
      <x:c r="J51" s="105"/>
      <x:c r="K51" s="105"/>
      <x:c r="L51" s="105"/>
      <x:c r="M51" s="105"/>
      <x:c r="N51" s="105"/>
      <x:c r="O51" s="105"/>
      <x:c r="P51" s="105"/>
      <x:c r="Q51" s="105"/>
      <x:c r="R51" s="105"/>
      <x:c r="S51" s="105"/>
      <x:c r="T51" s="105"/>
      <x:c r="U51" s="105"/>
    </x:row>
    <x:row r="52">
      <x:c r="A52" s="105"/>
      <x:c r="B52" s="105"/>
      <x:c r="C52" s="105"/>
      <x:c r="D52" s="105"/>
      <x:c r="E52" s="105"/>
      <x:c r="F52" s="105"/>
      <x:c r="G52" s="105"/>
      <x:c r="H52" s="105"/>
      <x:c r="I52" s="105"/>
      <x:c r="J52" s="105"/>
      <x:c r="K52" s="105"/>
      <x:c r="L52" s="105"/>
      <x:c r="M52" s="105"/>
      <x:c r="N52" s="105"/>
      <x:c r="O52" s="105"/>
      <x:c r="P52" s="105"/>
      <x:c r="Q52" s="105"/>
      <x:c r="R52" s="105"/>
      <x:c r="S52" s="105"/>
      <x:c r="T52" s="105"/>
      <x:c r="U52" s="105"/>
    </x:row>
    <x:row r="53">
      <x:c r="A53" s="105"/>
      <x:c r="B53" s="105"/>
      <x:c r="C53" s="105"/>
      <x:c r="D53" s="105"/>
      <x:c r="E53" s="105"/>
      <x:c r="F53" s="105"/>
      <x:c r="G53" s="105"/>
      <x:c r="H53" s="105"/>
      <x:c r="I53" s="105"/>
      <x:c r="J53" s="105"/>
      <x:c r="K53" s="105"/>
      <x:c r="L53" s="105"/>
      <x:c r="M53" s="105"/>
      <x:c r="N53" s="105"/>
      <x:c r="O53" s="105"/>
      <x:c r="P53" s="105"/>
      <x:c r="Q53" s="105"/>
      <x:c r="R53" s="105"/>
      <x:c r="S53" s="105"/>
      <x:c r="T53" s="105"/>
      <x:c r="U53" s="105"/>
    </x:row>
    <x:row r="54">
      <x:c r="A54" s="105"/>
      <x:c r="B54" s="105"/>
      <x:c r="C54" s="105"/>
      <x:c r="D54" s="105"/>
      <x:c r="E54" s="105"/>
      <x:c r="F54" s="105"/>
      <x:c r="G54" s="105"/>
      <x:c r="H54" s="105"/>
      <x:c r="I54" s="105"/>
      <x:c r="J54" s="105"/>
      <x:c r="K54" s="105"/>
      <x:c r="L54" s="105"/>
      <x:c r="M54" s="105"/>
      <x:c r="N54" s="105"/>
      <x:c r="O54" s="105"/>
      <x:c r="P54" s="105"/>
      <x:c r="Q54" s="105"/>
      <x:c r="R54" s="105"/>
      <x:c r="S54" s="105"/>
      <x:c r="T54" s="105"/>
      <x:c r="U54" s="105"/>
    </x:row>
    <x:row r="55">
      <x:c r="A55" s="105"/>
      <x:c r="B55" s="105"/>
      <x:c r="C55" s="105"/>
      <x:c r="D55" s="105"/>
      <x:c r="E55" s="105"/>
      <x:c r="F55" s="105"/>
      <x:c r="G55" s="105"/>
      <x:c r="H55" s="105"/>
      <x:c r="I55" s="105"/>
      <x:c r="J55" s="105"/>
      <x:c r="K55" s="105"/>
      <x:c r="L55" s="105"/>
      <x:c r="M55" s="105"/>
      <x:c r="N55" s="105"/>
      <x:c r="O55" s="105"/>
      <x:c r="P55" s="105"/>
      <x:c r="Q55" s="105"/>
      <x:c r="R55" s="105"/>
      <x:c r="S55" s="105"/>
      <x:c r="T55" s="105"/>
      <x:c r="U55" s="105"/>
    </x:row>
    <x:row r="56">
      <x:c r="A56" s="105"/>
      <x:c r="B56" s="105"/>
      <x:c r="C56" s="105"/>
      <x:c r="D56" s="105"/>
      <x:c r="E56" s="105"/>
      <x:c r="F56" s="105"/>
      <x:c r="G56" s="105"/>
      <x:c r="H56" s="105"/>
      <x:c r="I56" s="105"/>
      <x:c r="J56" s="105"/>
      <x:c r="K56" s="105"/>
      <x:c r="L56" s="105"/>
      <x:c r="M56" s="105"/>
      <x:c r="N56" s="105"/>
      <x:c r="O56" s="105"/>
      <x:c r="P56" s="105"/>
      <x:c r="Q56" s="105"/>
      <x:c r="R56" s="105"/>
      <x:c r="S56" s="105"/>
      <x:c r="T56" s="105"/>
      <x:c r="U56" s="105"/>
    </x:row>
    <x:row r="57">
      <x:c r="A57" s="105"/>
      <x:c r="B57" s="105"/>
      <x:c r="C57" s="105"/>
      <x:c r="D57" s="105"/>
      <x:c r="E57" s="105"/>
      <x:c r="F57" s="105"/>
      <x:c r="G57" s="105"/>
      <x:c r="H57" s="105"/>
      <x:c r="I57" s="105"/>
      <x:c r="J57" s="105"/>
      <x:c r="K57" s="105"/>
      <x:c r="L57" s="105"/>
      <x:c r="M57" s="105"/>
      <x:c r="N57" s="105"/>
      <x:c r="O57" s="105"/>
      <x:c r="P57" s="105"/>
      <x:c r="Q57" s="105"/>
      <x:c r="R57" s="105"/>
      <x:c r="S57" s="105"/>
      <x:c r="T57" s="105"/>
      <x:c r="U57" s="105"/>
    </x:row>
    <x:row r="58">
      <x:c r="A58" s="105"/>
      <x:c r="B58" s="105"/>
      <x:c r="C58" s="105"/>
      <x:c r="D58" s="105"/>
      <x:c r="E58" s="105"/>
      <x:c r="F58" s="105"/>
      <x:c r="G58" s="105"/>
      <x:c r="H58" s="105"/>
      <x:c r="I58" s="105"/>
      <x:c r="J58" s="105"/>
      <x:c r="K58" s="105"/>
      <x:c r="L58" s="105"/>
      <x:c r="M58" s="105"/>
      <x:c r="N58" s="105"/>
      <x:c r="O58" s="105"/>
      <x:c r="P58" s="105"/>
      <x:c r="Q58" s="105"/>
      <x:c r="R58" s="105"/>
      <x:c r="S58" s="105"/>
      <x:c r="T58" s="105"/>
      <x:c r="U58" s="105"/>
    </x:row>
    <x:row r="59">
      <x:c r="A59" s="105"/>
      <x:c r="B59" s="105"/>
      <x:c r="C59" s="105"/>
      <x:c r="D59" s="105"/>
      <x:c r="E59" s="105"/>
      <x:c r="F59" s="105"/>
      <x:c r="G59" s="105"/>
      <x:c r="H59" s="105"/>
      <x:c r="I59" s="105"/>
      <x:c r="J59" s="105"/>
      <x:c r="K59" s="105"/>
      <x:c r="L59" s="105"/>
      <x:c r="M59" s="105"/>
      <x:c r="N59" s="105"/>
      <x:c r="O59" s="105"/>
      <x:c r="P59" s="105"/>
      <x:c r="Q59" s="105"/>
      <x:c r="R59" s="105"/>
      <x:c r="S59" s="105"/>
      <x:c r="T59" s="105"/>
      <x:c r="U59" s="105"/>
    </x:row>
    <x:row r="60">
      <x:c r="A60" s="105"/>
      <x:c r="B60" s="105"/>
      <x:c r="C60" s="105"/>
      <x:c r="D60" s="105"/>
      <x:c r="E60" s="105"/>
      <x:c r="F60" s="105"/>
      <x:c r="G60" s="105"/>
      <x:c r="H60" s="105"/>
      <x:c r="I60" s="105"/>
      <x:c r="J60" s="105"/>
      <x:c r="K60" s="105"/>
      <x:c r="L60" s="105"/>
      <x:c r="M60" s="105"/>
      <x:c r="N60" s="105"/>
      <x:c r="O60" s="105"/>
      <x:c r="P60" s="105"/>
      <x:c r="Q60" s="105"/>
      <x:c r="R60" s="105"/>
      <x:c r="S60" s="105"/>
      <x:c r="T60" s="105"/>
      <x:c r="U60" s="105"/>
    </x:row>
    <x:row r="61">
      <x:c r="A61" s="105"/>
      <x:c r="B61" s="105"/>
      <x:c r="C61" s="105"/>
      <x:c r="D61" s="105"/>
      <x:c r="E61" s="105"/>
      <x:c r="F61" s="105"/>
      <x:c r="G61" s="105"/>
      <x:c r="H61" s="105"/>
      <x:c r="I61" s="105"/>
      <x:c r="J61" s="105"/>
      <x:c r="K61" s="105"/>
      <x:c r="L61" s="105"/>
      <x:c r="M61" s="105"/>
      <x:c r="N61" s="105"/>
      <x:c r="O61" s="105"/>
      <x:c r="P61" s="105"/>
      <x:c r="Q61" s="105"/>
      <x:c r="R61" s="105"/>
      <x:c r="S61" s="105"/>
      <x:c r="T61" s="105"/>
      <x:c r="U61" s="105"/>
    </x:row>
    <x:row r="62">
      <x:c r="A62" s="105"/>
      <x:c r="B62" s="105"/>
      <x:c r="C62" s="105"/>
      <x:c r="D62" s="105"/>
      <x:c r="E62" s="105"/>
      <x:c r="F62" s="105"/>
      <x:c r="G62" s="105"/>
      <x:c r="H62" s="105"/>
      <x:c r="I62" s="105"/>
      <x:c r="J62" s="105"/>
      <x:c r="K62" s="105"/>
      <x:c r="L62" s="105"/>
      <x:c r="M62" s="105"/>
      <x:c r="N62" s="105"/>
      <x:c r="O62" s="105"/>
      <x:c r="P62" s="105"/>
      <x:c r="Q62" s="105"/>
      <x:c r="R62" s="105"/>
      <x:c r="S62" s="105"/>
      <x:c r="T62" s="105"/>
      <x:c r="U62" s="105"/>
    </x:row>
    <x:row r="63">
      <x:c r="A63" s="105"/>
      <x:c r="B63" s="105"/>
      <x:c r="C63" s="105"/>
      <x:c r="D63" s="105"/>
      <x:c r="E63" s="105"/>
      <x:c r="F63" s="105"/>
      <x:c r="G63" s="105"/>
      <x:c r="H63" s="105"/>
      <x:c r="I63" s="105"/>
      <x:c r="J63" s="105"/>
      <x:c r="K63" s="105"/>
      <x:c r="L63" s="105"/>
      <x:c r="M63" s="105"/>
      <x:c r="N63" s="105"/>
      <x:c r="O63" s="105"/>
      <x:c r="P63" s="105"/>
      <x:c r="Q63" s="105"/>
      <x:c r="R63" s="105"/>
      <x:c r="S63" s="105"/>
      <x:c r="T63" s="105"/>
      <x:c r="U63" s="105"/>
    </x:row>
    <x:row r="64">
      <x:c r="A64" s="105"/>
      <x:c r="B64" s="105"/>
      <x:c r="C64" s="105"/>
      <x:c r="D64" s="105"/>
      <x:c r="E64" s="105"/>
      <x:c r="F64" s="105"/>
      <x:c r="G64" s="105"/>
      <x:c r="H64" s="105"/>
      <x:c r="I64" s="105"/>
      <x:c r="J64" s="105"/>
      <x:c r="K64" s="105"/>
      <x:c r="L64" s="105"/>
      <x:c r="M64" s="105"/>
      <x:c r="N64" s="105"/>
      <x:c r="O64" s="105"/>
      <x:c r="P64" s="105"/>
      <x:c r="Q64" s="105"/>
      <x:c r="R64" s="105"/>
      <x:c r="S64" s="105"/>
      <x:c r="T64" s="105"/>
      <x:c r="U64" s="105"/>
    </x:row>
    <x:row r="65">
      <x:c r="A65" s="105"/>
      <x:c r="B65" s="105"/>
      <x:c r="C65" s="105"/>
      <x:c r="D65" s="105"/>
      <x:c r="E65" s="105"/>
      <x:c r="F65" s="105"/>
      <x:c r="G65" s="105"/>
      <x:c r="H65" s="105"/>
      <x:c r="I65" s="105"/>
      <x:c r="J65" s="105"/>
      <x:c r="K65" s="105"/>
      <x:c r="L65" s="105"/>
      <x:c r="M65" s="105"/>
      <x:c r="N65" s="105"/>
      <x:c r="O65" s="105"/>
      <x:c r="P65" s="105"/>
      <x:c r="Q65" s="105"/>
      <x:c r="R65" s="105"/>
      <x:c r="S65" s="105"/>
      <x:c r="T65" s="105"/>
      <x:c r="U65" s="105"/>
    </x:row>
    <x:row r="66">
      <x:c r="A66" s="105"/>
      <x:c r="B66" s="105"/>
      <x:c r="C66" s="105"/>
      <x:c r="D66" s="105"/>
      <x:c r="E66" s="105"/>
      <x:c r="F66" s="105"/>
      <x:c r="G66" s="105"/>
      <x:c r="H66" s="105"/>
      <x:c r="I66" s="105"/>
      <x:c r="J66" s="105"/>
      <x:c r="K66" s="105"/>
      <x:c r="L66" s="105"/>
      <x:c r="M66" s="105"/>
      <x:c r="N66" s="105"/>
      <x:c r="O66" s="105"/>
      <x:c r="P66" s="105"/>
      <x:c r="Q66" s="105"/>
      <x:c r="R66" s="105"/>
      <x:c r="S66" s="105"/>
      <x:c r="T66" s="105"/>
      <x:c r="U66" s="105"/>
    </x:row>
    <x:row r="67">
      <x:c r="A67" s="105"/>
      <x:c r="B67" s="105"/>
      <x:c r="C67" s="105"/>
      <x:c r="D67" s="105"/>
      <x:c r="E67" s="105"/>
      <x:c r="F67" s="105"/>
      <x:c r="G67" s="105"/>
      <x:c r="H67" s="105"/>
      <x:c r="I67" s="105"/>
      <x:c r="J67" s="105"/>
      <x:c r="K67" s="105"/>
      <x:c r="L67" s="105"/>
      <x:c r="M67" s="105"/>
      <x:c r="N67" s="105"/>
      <x:c r="O67" s="105"/>
      <x:c r="P67" s="105"/>
      <x:c r="Q67" s="105"/>
      <x:c r="R67" s="105"/>
      <x:c r="S67" s="105"/>
      <x:c r="T67" s="105"/>
      <x:c r="U67" s="105"/>
    </x:row>
    <x:row r="68">
      <x:c r="A68" s="105"/>
      <x:c r="B68" s="105"/>
      <x:c r="C68" s="105"/>
      <x:c r="D68" s="105"/>
      <x:c r="E68" s="105"/>
      <x:c r="F68" s="105"/>
      <x:c r="G68" s="105"/>
      <x:c r="H68" s="105"/>
      <x:c r="I68" s="105"/>
      <x:c r="J68" s="105"/>
      <x:c r="K68" s="105"/>
      <x:c r="L68" s="105"/>
      <x:c r="M68" s="105"/>
      <x:c r="N68" s="105"/>
      <x:c r="O68" s="105"/>
      <x:c r="P68" s="105"/>
      <x:c r="Q68" s="105"/>
      <x:c r="R68" s="105"/>
      <x:c r="S68" s="105"/>
      <x:c r="T68" s="105"/>
      <x:c r="U68" s="105"/>
    </x:row>
    <x:row r="69">
      <x:c r="A69" s="105"/>
      <x:c r="B69" s="105"/>
      <x:c r="C69" s="105"/>
      <x:c r="D69" s="105"/>
      <x:c r="E69" s="105"/>
      <x:c r="F69" s="105"/>
      <x:c r="G69" s="105"/>
      <x:c r="H69" s="105"/>
      <x:c r="I69" s="105"/>
      <x:c r="J69" s="105"/>
      <x:c r="K69" s="105"/>
      <x:c r="L69" s="105"/>
      <x:c r="M69" s="105"/>
      <x:c r="N69" s="105"/>
      <x:c r="O69" s="105"/>
      <x:c r="P69" s="105"/>
      <x:c r="Q69" s="105"/>
      <x:c r="R69" s="105"/>
      <x:c r="S69" s="105"/>
      <x:c r="T69" s="105"/>
      <x:c r="U69" s="105"/>
    </x:row>
    <x:row r="70">
      <x:c r="A70" s="105"/>
      <x:c r="B70" s="105"/>
      <x:c r="C70" s="105"/>
      <x:c r="D70" s="105"/>
      <x:c r="E70" s="105"/>
      <x:c r="F70" s="105"/>
      <x:c r="G70" s="105"/>
      <x:c r="H70" s="105"/>
      <x:c r="I70" s="105"/>
      <x:c r="J70" s="105"/>
      <x:c r="K70" s="105"/>
      <x:c r="L70" s="105"/>
      <x:c r="M70" s="105"/>
      <x:c r="N70" s="105"/>
      <x:c r="O70" s="105"/>
      <x:c r="P70" s="105"/>
      <x:c r="Q70" s="105"/>
      <x:c r="R70" s="105"/>
      <x:c r="S70" s="105"/>
      <x:c r="T70" s="105"/>
      <x:c r="U70" s="105"/>
    </x:row>
    <x:row r="71">
      <x:c r="A71" s="105"/>
      <x:c r="B71" s="105"/>
      <x:c r="C71" s="105"/>
      <x:c r="D71" s="105"/>
      <x:c r="E71" s="105"/>
      <x:c r="F71" s="105"/>
      <x:c r="G71" s="105"/>
      <x:c r="H71" s="105"/>
      <x:c r="I71" s="105"/>
      <x:c r="J71" s="105"/>
      <x:c r="K71" s="105"/>
      <x:c r="L71" s="105"/>
      <x:c r="M71" s="105"/>
      <x:c r="N71" s="105"/>
      <x:c r="O71" s="105"/>
      <x:c r="P71" s="105"/>
      <x:c r="Q71" s="105"/>
      <x:c r="R71" s="105"/>
      <x:c r="S71" s="105"/>
      <x:c r="T71" s="105"/>
      <x:c r="U71" s="105"/>
    </x:row>
    <x:row r="72">
      <x:c r="A72" s="105"/>
      <x:c r="B72" s="105"/>
      <x:c r="C72" s="105"/>
      <x:c r="D72" s="105"/>
      <x:c r="E72" s="105"/>
      <x:c r="F72" s="105"/>
      <x:c r="G72" s="105"/>
      <x:c r="H72" s="105"/>
      <x:c r="I72" s="105"/>
      <x:c r="J72" s="105"/>
      <x:c r="K72" s="105"/>
      <x:c r="L72" s="105"/>
      <x:c r="M72" s="105"/>
      <x:c r="N72" s="105"/>
      <x:c r="O72" s="105"/>
      <x:c r="P72" s="105"/>
      <x:c r="Q72" s="105"/>
      <x:c r="R72" s="105"/>
      <x:c r="S72" s="105"/>
      <x:c r="T72" s="105"/>
      <x:c r="U72" s="105"/>
    </x:row>
    <x:row r="73">
      <x:c r="A73" s="105"/>
      <x:c r="B73" s="105"/>
      <x:c r="C73" s="105"/>
      <x:c r="D73" s="105"/>
      <x:c r="E73" s="105"/>
      <x:c r="F73" s="105"/>
      <x:c r="G73" s="105"/>
      <x:c r="H73" s="105"/>
      <x:c r="I73" s="105"/>
      <x:c r="J73" s="105"/>
      <x:c r="K73" s="105"/>
      <x:c r="L73" s="105"/>
      <x:c r="M73" s="105"/>
      <x:c r="N73" s="105"/>
      <x:c r="O73" s="105"/>
      <x:c r="P73" s="105"/>
      <x:c r="Q73" s="105"/>
      <x:c r="R73" s="105"/>
      <x:c r="S73" s="105"/>
      <x:c r="T73" s="105"/>
      <x:c r="U73" s="105"/>
    </x:row>
    <x:row r="74">
      <x:c r="A74" s="105"/>
      <x:c r="B74" s="105"/>
      <x:c r="C74" s="105"/>
      <x:c r="D74" s="105"/>
      <x:c r="E74" s="105"/>
      <x:c r="F74" s="105"/>
      <x:c r="G74" s="105"/>
      <x:c r="H74" s="105"/>
      <x:c r="I74" s="105"/>
      <x:c r="J74" s="105"/>
      <x:c r="K74" s="105"/>
      <x:c r="L74" s="105"/>
      <x:c r="M74" s="105"/>
      <x:c r="N74" s="105"/>
      <x:c r="O74" s="105"/>
      <x:c r="P74" s="105"/>
      <x:c r="Q74" s="105"/>
      <x:c r="R74" s="105"/>
      <x:c r="S74" s="105"/>
      <x:c r="T74" s="105"/>
      <x:c r="U74" s="105"/>
    </x:row>
    <x:row r="75">
      <x:c r="A75" s="105"/>
      <x:c r="B75" s="105"/>
      <x:c r="C75" s="105"/>
      <x:c r="D75" s="105"/>
      <x:c r="E75" s="105"/>
      <x:c r="F75" s="105"/>
      <x:c r="G75" s="105"/>
      <x:c r="H75" s="105"/>
      <x:c r="I75" s="105"/>
      <x:c r="J75" s="105"/>
      <x:c r="K75" s="105"/>
      <x:c r="L75" s="105"/>
      <x:c r="M75" s="105"/>
      <x:c r="N75" s="105"/>
      <x:c r="O75" s="105"/>
      <x:c r="P75" s="105"/>
      <x:c r="Q75" s="105"/>
      <x:c r="R75" s="105"/>
      <x:c r="S75" s="105"/>
      <x:c r="T75" s="105"/>
      <x:c r="U75" s="105"/>
    </x:row>
    <x:row r="76">
      <x:c r="A76" s="105"/>
      <x:c r="B76" s="105"/>
      <x:c r="C76" s="105"/>
      <x:c r="D76" s="105"/>
      <x:c r="E76" s="105"/>
      <x:c r="F76" s="105"/>
      <x:c r="G76" s="105"/>
      <x:c r="H76" s="105"/>
      <x:c r="I76" s="105"/>
      <x:c r="J76" s="105"/>
      <x:c r="K76" s="105"/>
      <x:c r="L76" s="105"/>
      <x:c r="M76" s="105"/>
      <x:c r="N76" s="105"/>
      <x:c r="O76" s="105"/>
      <x:c r="P76" s="105"/>
      <x:c r="Q76" s="105"/>
      <x:c r="R76" s="105"/>
      <x:c r="S76" s="105"/>
      <x:c r="T76" s="105"/>
      <x:c r="U76" s="105"/>
    </x:row>
    <x:row r="77">
      <x:c r="A77" s="105"/>
      <x:c r="B77" s="105"/>
      <x:c r="C77" s="105"/>
      <x:c r="D77" s="105"/>
      <x:c r="E77" s="105"/>
      <x:c r="F77" s="105"/>
      <x:c r="G77" s="105"/>
      <x:c r="H77" s="105"/>
      <x:c r="I77" s="105"/>
      <x:c r="J77" s="105"/>
      <x:c r="K77" s="105"/>
      <x:c r="L77" s="105"/>
      <x:c r="M77" s="105"/>
      <x:c r="N77" s="105"/>
      <x:c r="O77" s="105"/>
      <x:c r="P77" s="105"/>
      <x:c r="Q77" s="105"/>
      <x:c r="R77" s="105"/>
      <x:c r="S77" s="105"/>
      <x:c r="T77" s="105"/>
      <x:c r="U77" s="105"/>
    </x:row>
    <x:row r="78">
      <x:c r="A78" s="105"/>
      <x:c r="B78" s="105"/>
      <x:c r="C78" s="105"/>
      <x:c r="D78" s="105"/>
      <x:c r="E78" s="105"/>
      <x:c r="F78" s="105"/>
      <x:c r="G78" s="105"/>
      <x:c r="H78" s="105"/>
      <x:c r="I78" s="105"/>
      <x:c r="J78" s="105"/>
      <x:c r="K78" s="105"/>
      <x:c r="L78" s="105"/>
      <x:c r="M78" s="105"/>
      <x:c r="N78" s="105"/>
      <x:c r="O78" s="105"/>
      <x:c r="P78" s="105"/>
      <x:c r="Q78" s="105"/>
      <x:c r="R78" s="105"/>
      <x:c r="S78" s="105"/>
      <x:c r="T78" s="105"/>
      <x:c r="U78" s="105"/>
    </x:row>
    <x:row r="79">
      <x:c r="A79" s="105"/>
      <x:c r="B79" s="105"/>
      <x:c r="C79" s="105"/>
      <x:c r="D79" s="105"/>
      <x:c r="E79" s="105"/>
      <x:c r="F79" s="105"/>
      <x:c r="G79" s="105"/>
      <x:c r="H79" s="105"/>
      <x:c r="I79" s="105"/>
      <x:c r="J79" s="105"/>
      <x:c r="K79" s="105"/>
      <x:c r="L79" s="105"/>
      <x:c r="M79" s="105"/>
      <x:c r="N79" s="105"/>
      <x:c r="O79" s="105"/>
      <x:c r="P79" s="105"/>
      <x:c r="Q79" s="105"/>
      <x:c r="R79" s="105"/>
      <x:c r="S79" s="105"/>
      <x:c r="T79" s="105"/>
      <x:c r="U79" s="105"/>
    </x:row>
    <x:row r="80">
      <x:c r="A80" s="105"/>
      <x:c r="B80" s="105"/>
      <x:c r="C80" s="105"/>
      <x:c r="D80" s="105"/>
      <x:c r="E80" s="105"/>
      <x:c r="F80" s="105"/>
      <x:c r="G80" s="105"/>
      <x:c r="H80" s="105"/>
      <x:c r="I80" s="105"/>
      <x:c r="J80" s="105"/>
      <x:c r="K80" s="105"/>
      <x:c r="L80" s="105"/>
      <x:c r="M80" s="105"/>
      <x:c r="N80" s="105"/>
      <x:c r="O80" s="105"/>
      <x:c r="P80" s="105"/>
      <x:c r="Q80" s="105"/>
      <x:c r="R80" s="105"/>
      <x:c r="S80" s="105"/>
      <x:c r="T80" s="105"/>
      <x:c r="U80" s="105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4" hidden="0" customWidth="1"/>
    <x:col min="4" max="4" width="3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8" hidden="0" customWidth="1"/>
    <x:col min="21" max="21" width="38" hidden="0" customWidth="1"/>
  </x:cols>
  <x:sheetData>
    <x:row r="1">
      <x:c r="A1" s="140" t="str">
        <x:v>Parcel ID</x:v>
      </x:c>
      <x:c r="B1" s="140" t="str">
        <x:v>Current Map Label</x:v>
      </x:c>
      <x:c r="C1" s="140" t="str">
        <x:v>Ring</x:v>
      </x:c>
      <x:c r="D1" s="140" t="str">
        <x:v>Primary Landmark / Zone</x:v>
      </x:c>
      <x:c r="E1" s="140" t="str">
        <x:v>Commerce</x:v>
      </x:c>
      <x:c r="F1" s="140" t="str">
        <x:v>Footfall</x:v>
      </x:c>
      <x:c r="G1" s="140" t="str">
        <x:v>Road Access</x:v>
      </x:c>
      <x:c r="H1" s="140" t="str">
        <x:v>Prestige</x:v>
      </x:c>
      <x:c r="I1" s="140" t="str">
        <x:v>Capital Access</x:v>
      </x:c>
      <x:c r="J1" s="140" t="str">
        <x:v>Data / Talent</x:v>
      </x:c>
      <x:c r="K1" s="140" t="str">
        <x:v>Security</x:v>
      </x:c>
      <x:c r="L1" s="140" t="str">
        <x:v>Amenity</x:v>
      </x:c>
      <x:c r="M1" s="140" t="str">
        <x:v>Adjacency Potential</x:v>
      </x:c>
      <x:c r="N1" s="140" t="str">
        <x:v>Land Value Index</x:v>
      </x:c>
      <x:c r="O1" s="140" t="str">
        <x:v>Land Grade</x:v>
      </x:c>
      <x:c r="P1" s="140" t="str">
        <x:v>Acquisition Mod</x:v>
      </x:c>
      <x:c r="Q1" s="140" t="str">
        <x:v>Premium Mix Mod</x:v>
      </x:c>
      <x:c r="R1" s="140" t="str">
        <x:v>Efficiency Mod</x:v>
      </x:c>
      <x:c r="S1" s="140" t="str">
        <x:v>Risk/Retention Mod</x:v>
      </x:c>
      <x:c r="T1" s="140" t="str">
        <x:v>Rare Required Level</x:v>
      </x:c>
      <x:c r="U1" s="140" t="str">
        <x:v>Notes</x:v>
      </x:c>
    </x:row>
    <x:row r="2">
      <x:c r="A2" s="107" t="str">
        <x:v>A01</x:v>
      </x:c>
      <x:c r="B2" s="107" t="n">
        <x:v>11</x:v>
      </x:c>
      <x:c r="C2" s="107" t="str">
        <x:v>A</x:v>
      </x:c>
      <x:c r="D2" s="107" t="str">
        <x:v>Central commercial core</x:v>
      </x:c>
      <x:c r="E2" s="172" t="n">
        <x:v>84</x:v>
      </x:c>
      <x:c r="F2" s="172" t="n">
        <x:v>70</x:v>
      </x:c>
      <x:c r="G2" s="172" t="n">
        <x:v>72</x:v>
      </x:c>
      <x:c r="H2" s="172" t="n">
        <x:v>80</x:v>
      </x:c>
      <x:c r="I2" s="172" t="n">
        <x:v>90</x:v>
      </x:c>
      <x:c r="J2" s="172" t="n">
        <x:v>70</x:v>
      </x:c>
      <x:c r="K2" s="172" t="n">
        <x:v>60</x:v>
      </x:c>
      <x:c r="L2" s="172" t="n">
        <x:v>58</x:v>
      </x:c>
      <x:c r="M2" s="172" t="n">
        <x:v>95</x:v>
      </x:c>
      <x:c r="N2" s="173" t="n">
        <x:f>ROUND(E2*Assumptions!$F$13+F2*Assumptions!$F$14+G2*Assumptions!$F$15+H2*Assumptions!$F$16+I2*Assumptions!$F$17+J2*Assumptions!$F$18+K2*Assumptions!$F$19+L2*Assumptions!$F$20+M2*Assumptions!$F$21,1)</x:f>
        <x:v>78.2</x:v>
      </x:c>
      <x:c r="O2" s="174" t="str">
        <x:f>IF(N2&gt;=Assumptions!$F$8,"Trophy",IF(N2&gt;=Assumptions!$F$7,"Prime",IF(N2&gt;=Assumptions!$F$6,"Premium",IF(N2&gt;=Assumptions!$F$5,"Growth","Entry"))))</x:f>
        <x:v>Prime</x:v>
      </x:c>
      <x:c r="P2" s="175" t="n">
        <x:f>MAX(0.8,MIN(1.25,1+(E2-50)*0.002+(F2-50)*0.0025+(G2-50)*0.0015))</x:f>
        <x:v>1.151</x:v>
      </x:c>
      <x:c r="Q2" s="175" t="n">
        <x:f>MAX(0.85,MIN(1.20,1+(H2-50)*0.002+(I2-50)*0.002+(L2-50)*0.0008))</x:f>
        <x:v>1.1464</x:v>
      </x:c>
      <x:c r="R2" s="175" t="n">
        <x:f>MAX(0.90,MIN(1.15,1+(J2-50)*0.0015+(G2-50)*0.0008+(E2-50)*0.0005))</x:f>
        <x:v>1.0646</x:v>
      </x:c>
      <x:c r="S2" s="175" t="n">
        <x:f>MAX(0.90,MIN(1.15,1+(K2-50)*0.0015+(L2-50)*0.0007+(H2-50)*0.0005))</x:f>
        <x:v>1.0355999999999999</x:v>
      </x:c>
      <x:c r="T2" s="174" t="n">
        <x:f>IF(AND(Assumptions!$B$14=1,O2="Trophy"),12,0)</x:f>
        <x:v>0</x:v>
      </x:c>
      <x:c r="U2" s="107" t="str"/>
    </x:row>
    <x:row r="3">
      <x:c r="A3" s="107" t="str">
        <x:v>A02</x:v>
      </x:c>
      <x:c r="B3" s="107" t="n">
        <x:v>12</x:v>
      </x:c>
      <x:c r="C3" s="107" t="str">
        <x:v>A</x:v>
      </x:c>
      <x:c r="D3" s="107" t="str">
        <x:v>Central-east commercial core</x:v>
      </x:c>
      <x:c r="E3" s="172" t="n">
        <x:v>86</x:v>
      </x:c>
      <x:c r="F3" s="172" t="n">
        <x:v>74</x:v>
      </x:c>
      <x:c r="G3" s="172" t="n">
        <x:v>76</x:v>
      </x:c>
      <x:c r="H3" s="172" t="n">
        <x:v>82</x:v>
      </x:c>
      <x:c r="I3" s="172" t="n">
        <x:v>92</x:v>
      </x:c>
      <x:c r="J3" s="172" t="n">
        <x:v>72</x:v>
      </x:c>
      <x:c r="K3" s="172" t="n">
        <x:v>62</x:v>
      </x:c>
      <x:c r="L3" s="172" t="n">
        <x:v>58</x:v>
      </x:c>
      <x:c r="M3" s="172" t="n">
        <x:v>95</x:v>
      </x:c>
      <x:c r="N3" s="173" t="n">
        <x:f>ROUND(E3*Assumptions!$F$13+F3*Assumptions!$F$14+G3*Assumptions!$F$15+H3*Assumptions!$F$16+I3*Assumptions!$F$17+J3*Assumptions!$F$18+K3*Assumptions!$F$19+L3*Assumptions!$F$20+M3*Assumptions!$F$21,1)</x:f>
        <x:v>80.5</x:v>
      </x:c>
      <x:c r="O3" s="174" t="str">
        <x:f>IF(N3&gt;=Assumptions!$F$8,"Trophy",IF(N3&gt;=Assumptions!$F$7,"Prime",IF(N3&gt;=Assumptions!$F$6,"Premium",IF(N3&gt;=Assumptions!$F$5,"Growth","Entry"))))</x:f>
        <x:v>Prime</x:v>
      </x:c>
      <x:c r="P3" s="175" t="n">
        <x:f>MAX(0.8,MIN(1.25,1+(E3-50)*0.002+(F3-50)*0.0025+(G3-50)*0.0015))</x:f>
        <x:v>1.171</x:v>
      </x:c>
      <x:c r="Q3" s="175" t="n">
        <x:f>MAX(0.85,MIN(1.20,1+(H3-50)*0.002+(I3-50)*0.002+(L3-50)*0.0008))</x:f>
        <x:v>1.1544</x:v>
      </x:c>
      <x:c r="R3" s="175" t="n">
        <x:f>MAX(0.90,MIN(1.15,1+(J3-50)*0.0015+(G3-50)*0.0008+(E3-50)*0.0005))</x:f>
        <x:v>1.0717999999999999</x:v>
      </x:c>
      <x:c r="S3" s="175" t="n">
        <x:f>MAX(0.90,MIN(1.15,1+(K3-50)*0.0015+(L3-50)*0.0007+(H3-50)*0.0005))</x:f>
        <x:v>1.0396</x:v>
      </x:c>
      <x:c r="T3" s="174" t="n">
        <x:f>IF(AND(Assumptions!$B$14=1,O3="Trophy"),12,0)</x:f>
        <x:v>0</x:v>
      </x:c>
      <x:c r="U3" s="107" t="str"/>
    </x:row>
    <x:row r="4">
      <x:c r="A4" s="107" t="str">
        <x:v>A03</x:v>
      </x:c>
      <x:c r="B4" s="107" t="n">
        <x:v>14</x:v>
      </x:c>
      <x:c r="C4" s="107" t="str">
        <x:v>A</x:v>
      </x:c>
      <x:c r="D4" s="107" t="str">
        <x:v>Central landmark west</x:v>
      </x:c>
      <x:c r="E4" s="172" t="n">
        <x:v>92</x:v>
      </x:c>
      <x:c r="F4" s="172" t="n">
        <x:v>76</x:v>
      </x:c>
      <x:c r="G4" s="172" t="n">
        <x:v>72</x:v>
      </x:c>
      <x:c r="H4" s="172" t="n">
        <x:v>86</x:v>
      </x:c>
      <x:c r="I4" s="172" t="n">
        <x:v>96</x:v>
      </x:c>
      <x:c r="J4" s="172" t="n">
        <x:v>78</x:v>
      </x:c>
      <x:c r="K4" s="172" t="n">
        <x:v>66</x:v>
      </x:c>
      <x:c r="L4" s="172" t="n">
        <x:v>60</x:v>
      </x:c>
      <x:c r="M4" s="172" t="n">
        <x:v>100</x:v>
      </x:c>
      <x:c r="N4" s="173" t="n">
        <x:f>ROUND(E4*Assumptions!$F$13+F4*Assumptions!$F$14+G4*Assumptions!$F$15+H4*Assumptions!$F$16+I4*Assumptions!$F$17+J4*Assumptions!$F$18+K4*Assumptions!$F$19+L4*Assumptions!$F$20+M4*Assumptions!$F$21,1)</x:f>
        <x:v>83.7</x:v>
      </x:c>
      <x:c r="O4" s="174" t="str">
        <x:f>IF(N4&gt;=Assumptions!$F$8,"Trophy",IF(N4&gt;=Assumptions!$F$7,"Prime",IF(N4&gt;=Assumptions!$F$6,"Premium",IF(N4&gt;=Assumptions!$F$5,"Growth","Entry"))))</x:f>
        <x:v>Prime</x:v>
      </x:c>
      <x:c r="P4" s="175" t="n">
        <x:f>MAX(0.8,MIN(1.25,1+(E4-50)*0.002+(F4-50)*0.0025+(G4-50)*0.0015))</x:f>
        <x:v>1.182</x:v>
      </x:c>
      <x:c r="Q4" s="175" t="n">
        <x:f>MAX(0.85,MIN(1.20,1+(H4-50)*0.002+(I4-50)*0.002+(L4-50)*0.0008))</x:f>
        <x:v>1.1720000000000002</x:v>
      </x:c>
      <x:c r="R4" s="175" t="n">
        <x:f>MAX(0.90,MIN(1.15,1+(J4-50)*0.0015+(G4-50)*0.0008+(E4-50)*0.0005))</x:f>
        <x:v>1.0806</x:v>
      </x:c>
      <x:c r="S4" s="175" t="n">
        <x:f>MAX(0.90,MIN(1.15,1+(K4-50)*0.0015+(L4-50)*0.0007+(H4-50)*0.0005))</x:f>
        <x:v>1.049</x:v>
      </x:c>
      <x:c r="T4" s="174" t="n">
        <x:f>IF(AND(Assumptions!$B$14=1,O4="Trophy"),12,0)</x:f>
        <x:v>0</x:v>
      </x:c>
      <x:c r="U4" s="107" t="str"/>
    </x:row>
    <x:row r="5">
      <x:c r="A5" s="107" t="str">
        <x:v>A04</x:v>
      </x:c>
      <x:c r="B5" s="107" t="n">
        <x:v>16</x:v>
      </x:c>
      <x:c r="C5" s="107" t="str">
        <x:v>A</x:v>
      </x:c>
      <x:c r="D5" s="107" t="str">
        <x:v>Central landmark east</x:v>
      </x:c>
      <x:c r="E5" s="172" t="n">
        <x:v>95</x:v>
      </x:c>
      <x:c r="F5" s="172" t="n">
        <x:v>78</x:v>
      </x:c>
      <x:c r="G5" s="172" t="n">
        <x:v>74</x:v>
      </x:c>
      <x:c r="H5" s="172" t="n">
        <x:v>90</x:v>
      </x:c>
      <x:c r="I5" s="172" t="n">
        <x:v>98</x:v>
      </x:c>
      <x:c r="J5" s="172" t="n">
        <x:v>80</x:v>
      </x:c>
      <x:c r="K5" s="172" t="n">
        <x:v>68</x:v>
      </x:c>
      <x:c r="L5" s="172" t="n">
        <x:v>60</x:v>
      </x:c>
      <x:c r="M5" s="172" t="n">
        <x:v>100</x:v>
      </x:c>
      <x:c r="N5" s="173" t="n">
        <x:f>ROUND(E5*Assumptions!$F$13+F5*Assumptions!$F$14+G5*Assumptions!$F$15+H5*Assumptions!$F$16+I5*Assumptions!$F$17+J5*Assumptions!$F$18+K5*Assumptions!$F$19+L5*Assumptions!$F$20+M5*Assumptions!$F$21,1)</x:f>
        <x:v>86</x:v>
      </x:c>
      <x:c r="O5" s="174" t="str">
        <x:f>IF(N5&gt;=Assumptions!$F$8,"Trophy",IF(N5&gt;=Assumptions!$F$7,"Prime",IF(N5&gt;=Assumptions!$F$6,"Premium",IF(N5&gt;=Assumptions!$F$5,"Growth","Entry"))))</x:f>
        <x:v>Trophy</x:v>
      </x:c>
      <x:c r="P5" s="175" t="n">
        <x:f>MAX(0.8,MIN(1.25,1+(E5-50)*0.002+(F5-50)*0.0025+(G5-50)*0.0015))</x:f>
        <x:v>1.1960000000000002</x:v>
      </x:c>
      <x:c r="Q5" s="175" t="n">
        <x:f>MAX(0.85,MIN(1.20,1+(H5-50)*0.002+(I5-50)*0.002+(L5-50)*0.0008))</x:f>
        <x:v>1.1840000000000002</x:v>
      </x:c>
      <x:c r="R5" s="175" t="n">
        <x:f>MAX(0.90,MIN(1.15,1+(J5-50)*0.0015+(G5-50)*0.0008+(E5-50)*0.0005))</x:f>
        <x:v>1.0867</x:v>
      </x:c>
      <x:c r="S5" s="175" t="n">
        <x:f>MAX(0.90,MIN(1.15,1+(K5-50)*0.0015+(L5-50)*0.0007+(H5-50)*0.0005))</x:f>
        <x:v>1.0539999999999998</x:v>
      </x:c>
      <x:c r="T5" s="174" t="n">
        <x:f>IF(AND(Assumptions!$B$14=1,O5="Trophy"),12,0)</x:f>
        <x:v>12</x:v>
      </x:c>
      <x:c r="U5" s="107" t="str"/>
    </x:row>
    <x:row r="6">
      <x:c r="A6" s="107" t="str">
        <x:v>A05</x:v>
      </x:c>
      <x:c r="B6" s="107" t="n">
        <x:v>19</x:v>
      </x:c>
      <x:c r="C6" s="107" t="str">
        <x:v>A</x:v>
      </x:c>
      <x:c r="D6" s="107" t="str">
        <x:v>Central landmark south-west</x:v>
      </x:c>
      <x:c r="E6" s="172" t="n">
        <x:v>90</x:v>
      </x:c>
      <x:c r="F6" s="172" t="n">
        <x:v>74</x:v>
      </x:c>
      <x:c r="G6" s="172" t="n">
        <x:v>70</x:v>
      </x:c>
      <x:c r="H6" s="172" t="n">
        <x:v>84</x:v>
      </x:c>
      <x:c r="I6" s="172" t="n">
        <x:v>94</x:v>
      </x:c>
      <x:c r="J6" s="172" t="n">
        <x:v>76</x:v>
      </x:c>
      <x:c r="K6" s="172" t="n">
        <x:v>64</x:v>
      </x:c>
      <x:c r="L6" s="172" t="n">
        <x:v>66</x:v>
      </x:c>
      <x:c r="M6" s="172" t="n">
        <x:v>95</x:v>
      </x:c>
      <x:c r="N6" s="173" t="n">
        <x:f>ROUND(E6*Assumptions!$F$13+F6*Assumptions!$F$14+G6*Assumptions!$F$15+H6*Assumptions!$F$16+I6*Assumptions!$F$17+J6*Assumptions!$F$18+K6*Assumptions!$F$19+L6*Assumptions!$F$20+M6*Assumptions!$F$21,1)</x:f>
        <x:v>81.9</x:v>
      </x:c>
      <x:c r="O6" s="174" t="str">
        <x:f>IF(N6&gt;=Assumptions!$F$8,"Trophy",IF(N6&gt;=Assumptions!$F$7,"Prime",IF(N6&gt;=Assumptions!$F$6,"Premium",IF(N6&gt;=Assumptions!$F$5,"Growth","Entry"))))</x:f>
        <x:v>Prime</x:v>
      </x:c>
      <x:c r="P6" s="175" t="n">
        <x:f>MAX(0.8,MIN(1.25,1+(E6-50)*0.002+(F6-50)*0.0025+(G6-50)*0.0015))</x:f>
        <x:v>1.1700000000000002</x:v>
      </x:c>
      <x:c r="Q6" s="175" t="n">
        <x:f>MAX(0.85,MIN(1.20,1+(H6-50)*0.002+(I6-50)*0.002+(L6-50)*0.0008))</x:f>
        <x:v>1.1688</x:v>
      </x:c>
      <x:c r="R6" s="175" t="n">
        <x:f>MAX(0.90,MIN(1.15,1+(J6-50)*0.0015+(G6-50)*0.0008+(E6-50)*0.0005))</x:f>
        <x:v>1.075</x:v>
      </x:c>
      <x:c r="S6" s="175" t="n">
        <x:f>MAX(0.90,MIN(1.15,1+(K6-50)*0.0015+(L6-50)*0.0007+(H6-50)*0.0005))</x:f>
        <x:v>1.0492</x:v>
      </x:c>
      <x:c r="T6" s="174" t="n">
        <x:f>IF(AND(Assumptions!$B$14=1,O6="Trophy"),12,0)</x:f>
        <x:v>0</x:v>
      </x:c>
      <x:c r="U6" s="107" t="str"/>
    </x:row>
    <x:row r="7">
      <x:c r="A7" s="107" t="str">
        <x:v>A06</x:v>
      </x:c>
      <x:c r="B7" s="107" t="n">
        <x:v>20</x:v>
      </x:c>
      <x:c r="C7" s="107" t="str">
        <x:v>A</x:v>
      </x:c>
      <x:c r="D7" s="107" t="str">
        <x:v>Central landmark south-east</x:v>
      </x:c>
      <x:c r="E7" s="172" t="n">
        <x:v>92</x:v>
      </x:c>
      <x:c r="F7" s="172" t="n">
        <x:v>76</x:v>
      </x:c>
      <x:c r="G7" s="172" t="n">
        <x:v>74</x:v>
      </x:c>
      <x:c r="H7" s="172" t="n">
        <x:v>86</x:v>
      </x:c>
      <x:c r="I7" s="172" t="n">
        <x:v>96</x:v>
      </x:c>
      <x:c r="J7" s="172" t="n">
        <x:v>78</x:v>
      </x:c>
      <x:c r="K7" s="172" t="n">
        <x:v>66</x:v>
      </x:c>
      <x:c r="L7" s="172" t="n">
        <x:v>62</x:v>
      </x:c>
      <x:c r="M7" s="172" t="n">
        <x:v>95</x:v>
      </x:c>
      <x:c r="N7" s="173" t="n">
        <x:f>ROUND(E7*Assumptions!$F$13+F7*Assumptions!$F$14+G7*Assumptions!$F$15+H7*Assumptions!$F$16+I7*Assumptions!$F$17+J7*Assumptions!$F$18+K7*Assumptions!$F$19+L7*Assumptions!$F$20+M7*Assumptions!$F$21,1)</x:f>
        <x:v>83.8</x:v>
      </x:c>
      <x:c r="O7" s="174" t="str">
        <x:f>IF(N7&gt;=Assumptions!$F$8,"Trophy",IF(N7&gt;=Assumptions!$F$7,"Prime",IF(N7&gt;=Assumptions!$F$6,"Premium",IF(N7&gt;=Assumptions!$F$5,"Growth","Entry"))))</x:f>
        <x:v>Prime</x:v>
      </x:c>
      <x:c r="P7" s="175" t="n">
        <x:f>MAX(0.8,MIN(1.25,1+(E7-50)*0.002+(F7-50)*0.0025+(G7-50)*0.0015))</x:f>
        <x:v>1.185</x:v>
      </x:c>
      <x:c r="Q7" s="175" t="n">
        <x:f>MAX(0.85,MIN(1.20,1+(H7-50)*0.002+(I7-50)*0.002+(L7-50)*0.0008))</x:f>
        <x:v>1.1736000000000002</x:v>
      </x:c>
      <x:c r="R7" s="175" t="n">
        <x:f>MAX(0.90,MIN(1.15,1+(J7-50)*0.0015+(G7-50)*0.0008+(E7-50)*0.0005))</x:f>
        <x:v>1.0822</x:v>
      </x:c>
      <x:c r="S7" s="175" t="n">
        <x:f>MAX(0.90,MIN(1.15,1+(K7-50)*0.0015+(L7-50)*0.0007+(H7-50)*0.0005))</x:f>
        <x:v>1.0504</x:v>
      </x:c>
      <x:c r="T7" s="174" t="n">
        <x:f>IF(AND(Assumptions!$B$14=1,O7="Trophy"),12,0)</x:f>
        <x:v>0</x:v>
      </x:c>
      <x:c r="U7" s="107" t="str"/>
    </x:row>
    <x:row r="8">
      <x:c r="A8" s="107" t="str">
        <x:v>A07</x:v>
      </x:c>
      <x:c r="B8" s="107" t="n">
        <x:v>25</x:v>
      </x:c>
      <x:c r="C8" s="107" t="str">
        <x:v>A</x:v>
      </x:c>
      <x:c r="D8" s="107" t="str">
        <x:v>Central-south west premium</x:v>
      </x:c>
      <x:c r="E8" s="172" t="n">
        <x:v>88</x:v>
      </x:c>
      <x:c r="F8" s="172" t="n">
        <x:v>72</x:v>
      </x:c>
      <x:c r="G8" s="172" t="n">
        <x:v>68</x:v>
      </x:c>
      <x:c r="H8" s="172" t="n">
        <x:v>82</x:v>
      </x:c>
      <x:c r="I8" s="172" t="n">
        <x:v>92</x:v>
      </x:c>
      <x:c r="J8" s="172" t="n">
        <x:v>74</x:v>
      </x:c>
      <x:c r="K8" s="172" t="n">
        <x:v>64</x:v>
      </x:c>
      <x:c r="L8" s="172" t="n">
        <x:v>70</x:v>
      </x:c>
      <x:c r="M8" s="172" t="n">
        <x:v>90</x:v>
      </x:c>
      <x:c r="N8" s="173" t="n">
        <x:f>ROUND(E8*Assumptions!$F$13+F8*Assumptions!$F$14+G8*Assumptions!$F$15+H8*Assumptions!$F$16+I8*Assumptions!$F$17+J8*Assumptions!$F$18+K8*Assumptions!$F$19+L8*Assumptions!$F$20+M8*Assumptions!$F$21,1)</x:f>
        <x:v>80.2</x:v>
      </x:c>
      <x:c r="O8" s="174" t="str">
        <x:f>IF(N8&gt;=Assumptions!$F$8,"Trophy",IF(N8&gt;=Assumptions!$F$7,"Prime",IF(N8&gt;=Assumptions!$F$6,"Premium",IF(N8&gt;=Assumptions!$F$5,"Growth","Entry"))))</x:f>
        <x:v>Prime</x:v>
      </x:c>
      <x:c r="P8" s="175" t="n">
        <x:f>MAX(0.8,MIN(1.25,1+(E8-50)*0.002+(F8-50)*0.0025+(G8-50)*0.0015))</x:f>
        <x:v>1.158</x:v>
      </x:c>
      <x:c r="Q8" s="175" t="n">
        <x:f>MAX(0.85,MIN(1.20,1+(H8-50)*0.002+(I8-50)*0.002+(L8-50)*0.0008))</x:f>
        <x:v>1.1640000000000001</x:v>
      </x:c>
      <x:c r="R8" s="175" t="n">
        <x:f>MAX(0.90,MIN(1.15,1+(J8-50)*0.0015+(G8-50)*0.0008+(E8-50)*0.0005))</x:f>
        <x:v>1.0694</x:v>
      </x:c>
      <x:c r="S8" s="175" t="n">
        <x:f>MAX(0.90,MIN(1.15,1+(K8-50)*0.0015+(L8-50)*0.0007+(H8-50)*0.0005))</x:f>
        <x:v>1.051</x:v>
      </x:c>
      <x:c r="T8" s="174" t="n">
        <x:f>IF(AND(Assumptions!$B$14=1,O8="Trophy"),12,0)</x:f>
        <x:v>0</x:v>
      </x:c>
      <x:c r="U8" s="107" t="str"/>
    </x:row>
    <x:row r="9">
      <x:c r="A9" s="107" t="str">
        <x:v>A08</x:v>
      </x:c>
      <x:c r="B9" s="107" t="n">
        <x:v>26</x:v>
      </x:c>
      <x:c r="C9" s="107" t="str">
        <x:v>A</x:v>
      </x:c>
      <x:c r="D9" s="107" t="str">
        <x:v>Central-south east premium</x:v>
      </x:c>
      <x:c r="E9" s="172" t="n">
        <x:v>84</x:v>
      </x:c>
      <x:c r="F9" s="172" t="n">
        <x:v>70</x:v>
      </x:c>
      <x:c r="G9" s="172" t="n">
        <x:v>72</x:v>
      </x:c>
      <x:c r="H9" s="172" t="n">
        <x:v>80</x:v>
      </x:c>
      <x:c r="I9" s="172" t="n">
        <x:v>88</x:v>
      </x:c>
      <x:c r="J9" s="172" t="n">
        <x:v>68</x:v>
      </x:c>
      <x:c r="K9" s="172" t="n">
        <x:v>62</x:v>
      </x:c>
      <x:c r="L9" s="172" t="n">
        <x:v>68</x:v>
      </x:c>
      <x:c r="M9" s="172" t="n">
        <x:v>90</x:v>
      </x:c>
      <x:c r="N9" s="173" t="n">
        <x:f>ROUND(E9*Assumptions!$F$13+F9*Assumptions!$F$14+G9*Assumptions!$F$15+H9*Assumptions!$F$16+I9*Assumptions!$F$17+J9*Assumptions!$F$18+K9*Assumptions!$F$19+L9*Assumptions!$F$20+M9*Assumptions!$F$21,1)</x:f>
        <x:v>78</x:v>
      </x:c>
      <x:c r="O9" s="174" t="str">
        <x:f>IF(N9&gt;=Assumptions!$F$8,"Trophy",IF(N9&gt;=Assumptions!$F$7,"Prime",IF(N9&gt;=Assumptions!$F$6,"Premium",IF(N9&gt;=Assumptions!$F$5,"Growth","Entry"))))</x:f>
        <x:v>Prime</x:v>
      </x:c>
      <x:c r="P9" s="175" t="n">
        <x:f>MAX(0.8,MIN(1.25,1+(E9-50)*0.002+(F9-50)*0.0025+(G9-50)*0.0015))</x:f>
        <x:v>1.151</x:v>
      </x:c>
      <x:c r="Q9" s="175" t="n">
        <x:f>MAX(0.85,MIN(1.20,1+(H9-50)*0.002+(I9-50)*0.002+(L9-50)*0.0008))</x:f>
        <x:v>1.1504</x:v>
      </x:c>
      <x:c r="R9" s="175" t="n">
        <x:f>MAX(0.90,MIN(1.15,1+(J9-50)*0.0015+(G9-50)*0.0008+(E9-50)*0.0005))</x:f>
        <x:v>1.0615999999999999</x:v>
      </x:c>
      <x:c r="S9" s="175" t="n">
        <x:f>MAX(0.90,MIN(1.15,1+(K9-50)*0.0015+(L9-50)*0.0007+(H9-50)*0.0005))</x:f>
        <x:v>1.0455999999999999</x:v>
      </x:c>
      <x:c r="T9" s="174" t="n">
        <x:f>IF(AND(Assumptions!$B$14=1,O9="Trophy"),12,0)</x:f>
        <x:v>0</x:v>
      </x:c>
      <x:c r="U9" s="107" t="str"/>
    </x:row>
    <x:row r="10">
      <x:c r="A10" s="107" t="str">
        <x:v>B01</x:v>
      </x:c>
      <x:c r="B10" s="107" t="n">
        <x:v>7</x:v>
      </x:c>
      <x:c r="C10" s="107" t="str">
        <x:v>B</x:v>
      </x:c>
      <x:c r="D10" s="107" t="str">
        <x:v>Inner north-west connector</x:v>
      </x:c>
      <x:c r="E10" s="172" t="n">
        <x:v>68</x:v>
      </x:c>
      <x:c r="F10" s="172" t="n">
        <x:v>60</x:v>
      </x:c>
      <x:c r="G10" s="172" t="n">
        <x:v>66</x:v>
      </x:c>
      <x:c r="H10" s="172" t="n">
        <x:v>64</x:v>
      </x:c>
      <x:c r="I10" s="172" t="n">
        <x:v>70</x:v>
      </x:c>
      <x:c r="J10" s="172" t="n">
        <x:v>62</x:v>
      </x:c>
      <x:c r="K10" s="172" t="n">
        <x:v>52</x:v>
      </x:c>
      <x:c r="L10" s="172" t="n">
        <x:v>60</x:v>
      </x:c>
      <x:c r="M10" s="172" t="n">
        <x:v>88</x:v>
      </x:c>
      <x:c r="N10" s="173" t="n">
        <x:f>ROUND(E10*Assumptions!$F$13+F10*Assumptions!$F$14+G10*Assumptions!$F$15+H10*Assumptions!$F$16+I10*Assumptions!$F$17+J10*Assumptions!$F$18+K10*Assumptions!$F$19+L10*Assumptions!$F$20+M10*Assumptions!$F$21,1)</x:f>
        <x:v>66</x:v>
      </x:c>
      <x:c r="O10" s="174" t="str">
        <x:f>IF(N10&gt;=Assumptions!$F$8,"Trophy",IF(N10&gt;=Assumptions!$F$7,"Prime",IF(N10&gt;=Assumptions!$F$6,"Premium",IF(N10&gt;=Assumptions!$F$5,"Growth","Entry"))))</x:f>
        <x:v>Premium</x:v>
      </x:c>
      <x:c r="P10" s="175" t="n">
        <x:f>MAX(0.8,MIN(1.25,1+(E10-50)*0.002+(F10-50)*0.0025+(G10-50)*0.0015))</x:f>
        <x:v>1.085</x:v>
      </x:c>
      <x:c r="Q10" s="175" t="n">
        <x:f>MAX(0.85,MIN(1.20,1+(H10-50)*0.002+(I10-50)*0.002+(L10-50)*0.0008))</x:f>
        <x:v>1.076</x:v>
      </x:c>
      <x:c r="R10" s="175" t="n">
        <x:f>MAX(0.90,MIN(1.15,1+(J10-50)*0.0015+(G10-50)*0.0008+(E10-50)*0.0005))</x:f>
        <x:v>1.0397999999999998</x:v>
      </x:c>
      <x:c r="S10" s="175" t="n">
        <x:f>MAX(0.90,MIN(1.15,1+(K10-50)*0.0015+(L10-50)*0.0007+(H10-50)*0.0005))</x:f>
        <x:v>1.0169999999999997</x:v>
      </x:c>
      <x:c r="T10" s="174" t="n">
        <x:f>IF(AND(Assumptions!$B$14=1,O10="Trophy"),12,0)</x:f>
        <x:v>0</x:v>
      </x:c>
      <x:c r="U10" s="107" t="str"/>
    </x:row>
    <x:row r="11">
      <x:c r="A11" s="107" t="str">
        <x:v>B02</x:v>
      </x:c>
      <x:c r="B11" s="107" t="n">
        <x:v>8</x:v>
      </x:c>
      <x:c r="C11" s="107" t="str">
        <x:v>B</x:v>
      </x:c>
      <x:c r="D11" s="107" t="str">
        <x:v>Inner north commercial</x:v>
      </x:c>
      <x:c r="E11" s="172" t="n">
        <x:v>82</x:v>
      </x:c>
      <x:c r="F11" s="172" t="n">
        <x:v>68</x:v>
      </x:c>
      <x:c r="G11" s="172" t="n">
        <x:v>74</x:v>
      </x:c>
      <x:c r="H11" s="172" t="n">
        <x:v>78</x:v>
      </x:c>
      <x:c r="I11" s="172" t="n">
        <x:v>86</x:v>
      </x:c>
      <x:c r="J11" s="172" t="n">
        <x:v>72</x:v>
      </x:c>
      <x:c r="K11" s="172" t="n">
        <x:v>58</x:v>
      </x:c>
      <x:c r="L11" s="172" t="n">
        <x:v>60</x:v>
      </x:c>
      <x:c r="M11" s="172" t="n">
        <x:v>88</x:v>
      </x:c>
      <x:c r="N11" s="173" t="n">
        <x:f>ROUND(E11*Assumptions!$F$13+F11*Assumptions!$F$14+G11*Assumptions!$F$15+H11*Assumptions!$F$16+I11*Assumptions!$F$17+J11*Assumptions!$F$18+K11*Assumptions!$F$19+L11*Assumptions!$F$20+M11*Assumptions!$F$21,1)</x:f>
        <x:v>76.7</x:v>
      </x:c>
      <x:c r="O11" s="174" t="str">
        <x:f>IF(N11&gt;=Assumptions!$F$8,"Trophy",IF(N11&gt;=Assumptions!$F$7,"Prime",IF(N11&gt;=Assumptions!$F$6,"Premium",IF(N11&gt;=Assumptions!$F$5,"Growth","Entry"))))</x:f>
        <x:v>Prime</x:v>
      </x:c>
      <x:c r="P11" s="175" t="n">
        <x:f>MAX(0.8,MIN(1.25,1+(E11-50)*0.002+(F11-50)*0.0025+(G11-50)*0.0015))</x:f>
        <x:v>1.145</x:v>
      </x:c>
      <x:c r="Q11" s="175" t="n">
        <x:f>MAX(0.85,MIN(1.20,1+(H11-50)*0.002+(I11-50)*0.002+(L11-50)*0.0008))</x:f>
        <x:v>1.1360000000000001</x:v>
      </x:c>
      <x:c r="R11" s="175" t="n">
        <x:f>MAX(0.90,MIN(1.15,1+(J11-50)*0.0015+(G11-50)*0.0008+(E11-50)*0.0005))</x:f>
        <x:v>1.0682</x:v>
      </x:c>
      <x:c r="S11" s="175" t="n">
        <x:f>MAX(0.90,MIN(1.15,1+(K11-50)*0.0015+(L11-50)*0.0007+(H11-50)*0.0005))</x:f>
        <x:v>1.033</x:v>
      </x:c>
      <x:c r="T11" s="174" t="n">
        <x:f>IF(AND(Assumptions!$B$14=1,O11="Trophy"),12,0)</x:f>
        <x:v>0</x:v>
      </x:c>
      <x:c r="U11" s="107" t="str"/>
    </x:row>
    <x:row r="12">
      <x:c r="A12" s="107" t="str">
        <x:v>B03</x:v>
      </x:c>
      <x:c r="B12" s="107" t="n">
        <x:v>9</x:v>
      </x:c>
      <x:c r="C12" s="107" t="str">
        <x:v>B</x:v>
      </x:c>
      <x:c r="D12" s="107" t="str">
        <x:v>Inner north-east connector</x:v>
      </x:c>
      <x:c r="E12" s="172" t="n">
        <x:v>74</x:v>
      </x:c>
      <x:c r="F12" s="172" t="n">
        <x:v>65</x:v>
      </x:c>
      <x:c r="G12" s="172" t="n">
        <x:v>72</x:v>
      </x:c>
      <x:c r="H12" s="172" t="n">
        <x:v>70</x:v>
      </x:c>
      <x:c r="I12" s="172" t="n">
        <x:v>76</x:v>
      </x:c>
      <x:c r="J12" s="172" t="n">
        <x:v>60</x:v>
      </x:c>
      <x:c r="K12" s="172" t="n">
        <x:v>54</x:v>
      </x:c>
      <x:c r="L12" s="172" t="n">
        <x:v>58</x:v>
      </x:c>
      <x:c r="M12" s="172" t="n">
        <x:v>82</x:v>
      </x:c>
      <x:c r="N12" s="173" t="n">
        <x:f>ROUND(E12*Assumptions!$F$13+F12*Assumptions!$F$14+G12*Assumptions!$F$15+H12*Assumptions!$F$16+I12*Assumptions!$F$17+J12*Assumptions!$F$18+K12*Assumptions!$F$19+L12*Assumptions!$F$20+M12*Assumptions!$F$21,1)</x:f>
        <x:v>70.1</x:v>
      </x:c>
      <x:c r="O12" s="174" t="str">
        <x:f>IF(N12&gt;=Assumptions!$F$8,"Trophy",IF(N12&gt;=Assumptions!$F$7,"Prime",IF(N12&gt;=Assumptions!$F$6,"Premium",IF(N12&gt;=Assumptions!$F$5,"Growth","Entry"))))</x:f>
        <x:v>Premium</x:v>
      </x:c>
      <x:c r="P12" s="175" t="n">
        <x:f>MAX(0.8,MIN(1.25,1+(E12-50)*0.002+(F12-50)*0.0025+(G12-50)*0.0015))</x:f>
        <x:v>1.1185</x:v>
      </x:c>
      <x:c r="Q12" s="175" t="n">
        <x:f>MAX(0.85,MIN(1.20,1+(H12-50)*0.002+(I12-50)*0.002+(L12-50)*0.0008))</x:f>
        <x:v>1.0984</x:v>
      </x:c>
      <x:c r="R12" s="175" t="n">
        <x:f>MAX(0.90,MIN(1.15,1+(J12-50)*0.0015+(G12-50)*0.0008+(E12-50)*0.0005))</x:f>
        <x:v>1.0446</x:v>
      </x:c>
      <x:c r="S12" s="175" t="n">
        <x:f>MAX(0.90,MIN(1.15,1+(K12-50)*0.0015+(L12-50)*0.0007+(H12-50)*0.0005))</x:f>
        <x:v>1.0216</x:v>
      </x:c>
      <x:c r="T12" s="174" t="n">
        <x:f>IF(AND(Assumptions!$B$14=1,O12="Trophy"),12,0)</x:f>
        <x:v>0</x:v>
      </x:c>
      <x:c r="U12" s="107" t="str"/>
    </x:row>
    <x:row r="13">
      <x:c r="A13" s="107" t="str">
        <x:v>B04</x:v>
      </x:c>
      <x:c r="B13" s="107" t="n">
        <x:v>10</x:v>
      </x:c>
      <x:c r="C13" s="107" t="str">
        <x:v>B</x:v>
      </x:c>
      <x:c r="D13" s="107" t="str">
        <x:v>West road-commercial</x:v>
      </x:c>
      <x:c r="E13" s="172" t="n">
        <x:v>68</x:v>
      </x:c>
      <x:c r="F13" s="172" t="n">
        <x:v>70</x:v>
      </x:c>
      <x:c r="G13" s="172" t="n">
        <x:v>82</x:v>
      </x:c>
      <x:c r="H13" s="172" t="n">
        <x:v>62</x:v>
      </x:c>
      <x:c r="I13" s="172" t="n">
        <x:v>66</x:v>
      </x:c>
      <x:c r="J13" s="172" t="n">
        <x:v>48</x:v>
      </x:c>
      <x:c r="K13" s="172" t="n">
        <x:v>52</x:v>
      </x:c>
      <x:c r="L13" s="172" t="n">
        <x:v>64</x:v>
      </x:c>
      <x:c r="M13" s="172" t="n">
        <x:v>72</x:v>
      </x:c>
      <x:c r="N13" s="173" t="n">
        <x:f>ROUND(E13*Assumptions!$F$13+F13*Assumptions!$F$14+G13*Assumptions!$F$15+H13*Assumptions!$F$16+I13*Assumptions!$F$17+J13*Assumptions!$F$18+K13*Assumptions!$F$19+L13*Assumptions!$F$20+M13*Assumptions!$F$21,1)</x:f>
        <x:v>66.9</x:v>
      </x:c>
      <x:c r="O13" s="174" t="str">
        <x:f>IF(N13&gt;=Assumptions!$F$8,"Trophy",IF(N13&gt;=Assumptions!$F$7,"Prime",IF(N13&gt;=Assumptions!$F$6,"Premium",IF(N13&gt;=Assumptions!$F$5,"Growth","Entry"))))</x:f>
        <x:v>Premium</x:v>
      </x:c>
      <x:c r="P13" s="175" t="n">
        <x:f>MAX(0.8,MIN(1.25,1+(E13-50)*0.002+(F13-50)*0.0025+(G13-50)*0.0015))</x:f>
        <x:v>1.1340000000000001</x:v>
      </x:c>
      <x:c r="Q13" s="175" t="n">
        <x:f>MAX(0.85,MIN(1.20,1+(H13-50)*0.002+(I13-50)*0.002+(L13-50)*0.0008))</x:f>
        <x:v>1.0672000000000001</x:v>
      </x:c>
      <x:c r="R13" s="175" t="n">
        <x:f>MAX(0.90,MIN(1.15,1+(J13-50)*0.0015+(G13-50)*0.0008+(E13-50)*0.0005))</x:f>
        <x:v>1.0315999999999999</x:v>
      </x:c>
      <x:c r="S13" s="175" t="n">
        <x:f>MAX(0.90,MIN(1.15,1+(K13-50)*0.0015+(L13-50)*0.0007+(H13-50)*0.0005))</x:f>
        <x:v>1.0188</x:v>
      </x:c>
      <x:c r="T13" s="174" t="n">
        <x:f>IF(AND(Assumptions!$B$14=1,O13="Trophy"),12,0)</x:f>
        <x:v>0</x:v>
      </x:c>
      <x:c r="U13" s="107" t="str"/>
    </x:row>
    <x:row r="14">
      <x:c r="A14" s="107" t="str">
        <x:v>B05</x:v>
      </x:c>
      <x:c r="B14" s="107" t="n">
        <x:v>13</x:v>
      </x:c>
      <x:c r="C14" s="107" t="str">
        <x:v>B</x:v>
      </x:c>
      <x:c r="D14" s="107" t="str">
        <x:v>East road-commercial</x:v>
      </x:c>
      <x:c r="E14" s="172" t="n">
        <x:v>76</x:v>
      </x:c>
      <x:c r="F14" s="172" t="n">
        <x:v>70</x:v>
      </x:c>
      <x:c r="G14" s="172" t="n">
        <x:v>80</x:v>
      </x:c>
      <x:c r="H14" s="172" t="n">
        <x:v>70</x:v>
      </x:c>
      <x:c r="I14" s="172" t="n">
        <x:v>78</x:v>
      </x:c>
      <x:c r="J14" s="172" t="n">
        <x:v>58</x:v>
      </x:c>
      <x:c r="K14" s="172" t="n">
        <x:v>54</x:v>
      </x:c>
      <x:c r="L14" s="172" t="n">
        <x:v>54</x:v>
      </x:c>
      <x:c r="M14" s="172" t="n">
        <x:v>72</x:v>
      </x:c>
      <x:c r="N14" s="173" t="n">
        <x:f>ROUND(E14*Assumptions!$F$13+F14*Assumptions!$F$14+G14*Assumptions!$F$15+H14*Assumptions!$F$16+I14*Assumptions!$F$17+J14*Assumptions!$F$18+K14*Assumptions!$F$19+L14*Assumptions!$F$20+M14*Assumptions!$F$21,1)</x:f>
        <x:v>71.7</x:v>
      </x:c>
      <x:c r="O14" s="174" t="str">
        <x:f>IF(N14&gt;=Assumptions!$F$8,"Trophy",IF(N14&gt;=Assumptions!$F$7,"Prime",IF(N14&gt;=Assumptions!$F$6,"Premium",IF(N14&gt;=Assumptions!$F$5,"Growth","Entry"))))</x:f>
        <x:v>Premium</x:v>
      </x:c>
      <x:c r="P14" s="175" t="n">
        <x:f>MAX(0.8,MIN(1.25,1+(E14-50)*0.002+(F14-50)*0.0025+(G14-50)*0.0015))</x:f>
        <x:v>1.147</x:v>
      </x:c>
      <x:c r="Q14" s="175" t="n">
        <x:f>MAX(0.85,MIN(1.20,1+(H14-50)*0.002+(I14-50)*0.002+(L14-50)*0.0008))</x:f>
        <x:v>1.0992000000000002</x:v>
      </x:c>
      <x:c r="R14" s="175" t="n">
        <x:f>MAX(0.90,MIN(1.15,1+(J14-50)*0.0015+(G14-50)*0.0008+(E14-50)*0.0005))</x:f>
        <x:v>1.049</x:v>
      </x:c>
      <x:c r="S14" s="175" t="n">
        <x:f>MAX(0.90,MIN(1.15,1+(K14-50)*0.0015+(L14-50)*0.0007+(H14-50)*0.0005))</x:f>
        <x:v>1.0188</x:v>
      </x:c>
      <x:c r="T14" s="174" t="n">
        <x:f>IF(AND(Assumptions!$B$14=1,O14="Trophy"),12,0)</x:f>
        <x:v>0</x:v>
      </x:c>
      <x:c r="U14" s="107" t="str"/>
    </x:row>
    <x:row r="15">
      <x:c r="A15" s="107" t="str">
        <x:v>B06</x:v>
      </x:c>
      <x:c r="B15" s="107" t="n">
        <x:v>15</x:v>
      </x:c>
      <x:c r="C15" s="107" t="str">
        <x:v>B</x:v>
      </x:c>
      <x:c r="D15" s="107" t="str">
        <x:v>West mixed-use</x:v>
      </x:c>
      <x:c r="E15" s="172" t="n">
        <x:v>62</x:v>
      </x:c>
      <x:c r="F15" s="172" t="n">
        <x:v>68</x:v>
      </x:c>
      <x:c r="G15" s="172" t="n">
        <x:v>78</x:v>
      </x:c>
      <x:c r="H15" s="172" t="n">
        <x:v>58</x:v>
      </x:c>
      <x:c r="I15" s="172" t="n">
        <x:v>60</x:v>
      </x:c>
      <x:c r="J15" s="172" t="n">
        <x:v>44</x:v>
      </x:c>
      <x:c r="K15" s="172" t="n">
        <x:v>50</x:v>
      </x:c>
      <x:c r="L15" s="172" t="n">
        <x:v>70</x:v>
      </x:c>
      <x:c r="M15" s="172" t="n">
        <x:v>68</x:v>
      </x:c>
      <x:c r="N15" s="173" t="n">
        <x:f>ROUND(E15*Assumptions!$F$13+F15*Assumptions!$F$14+G15*Assumptions!$F$15+H15*Assumptions!$F$16+I15*Assumptions!$F$17+J15*Assumptions!$F$18+K15*Assumptions!$F$19+L15*Assumptions!$F$20+M15*Assumptions!$F$21,1)</x:f>
        <x:v>62.9</x:v>
      </x:c>
      <x:c r="O15" s="174" t="str">
        <x:f>IF(N15&gt;=Assumptions!$F$8,"Trophy",IF(N15&gt;=Assumptions!$F$7,"Prime",IF(N15&gt;=Assumptions!$F$6,"Premium",IF(N15&gt;=Assumptions!$F$5,"Growth","Entry"))))</x:f>
        <x:v>Growth</x:v>
      </x:c>
      <x:c r="P15" s="175" t="n">
        <x:f>MAX(0.8,MIN(1.25,1+(E15-50)*0.002+(F15-50)*0.0025+(G15-50)*0.0015))</x:f>
        <x:v>1.111</x:v>
      </x:c>
      <x:c r="Q15" s="175" t="n">
        <x:f>MAX(0.85,MIN(1.20,1+(H15-50)*0.002+(I15-50)*0.002+(L15-50)*0.0008))</x:f>
        <x:v>1.052</x:v>
      </x:c>
      <x:c r="R15" s="175" t="n">
        <x:f>MAX(0.90,MIN(1.15,1+(J15-50)*0.0015+(G15-50)*0.0008+(E15-50)*0.0005))</x:f>
        <x:v>1.0194</x:v>
      </x:c>
      <x:c r="S15" s="175" t="n">
        <x:f>MAX(0.90,MIN(1.15,1+(K15-50)*0.0015+(L15-50)*0.0007+(H15-50)*0.0005))</x:f>
        <x:v>1.018</x:v>
      </x:c>
      <x:c r="T15" s="174" t="n">
        <x:f>IF(AND(Assumptions!$B$14=1,O15="Trophy"),12,0)</x:f>
        <x:v>0</x:v>
      </x:c>
      <x:c r="U15" s="107" t="str"/>
    </x:row>
    <x:row r="16">
      <x:c r="A16" s="107" t="str">
        <x:v>B07</x:v>
      </x:c>
      <x:c r="B16" s="107" t="n">
        <x:v>17</x:v>
      </x:c>
      <x:c r="C16" s="107" t="str">
        <x:v>B</x:v>
      </x:c>
      <x:c r="D16" s="107" t="str">
        <x:v>Central-east connector</x:v>
      </x:c>
      <x:c r="E16" s="172" t="n">
        <x:v>82</x:v>
      </x:c>
      <x:c r="F16" s="172" t="n">
        <x:v>72</x:v>
      </x:c>
      <x:c r="G16" s="172" t="n">
        <x:v>78</x:v>
      </x:c>
      <x:c r="H16" s="172" t="n">
        <x:v>76</x:v>
      </x:c>
      <x:c r="I16" s="172" t="n">
        <x:v>86</x:v>
      </x:c>
      <x:c r="J16" s="172" t="n">
        <x:v>64</x:v>
      </x:c>
      <x:c r="K16" s="172" t="n">
        <x:v>58</x:v>
      </x:c>
      <x:c r="L16" s="172" t="n">
        <x:v>58</x:v>
      </x:c>
      <x:c r="M16" s="172" t="n">
        <x:v>88</x:v>
      </x:c>
      <x:c r="N16" s="173" t="n">
        <x:f>ROUND(E16*Assumptions!$F$13+F16*Assumptions!$F$14+G16*Assumptions!$F$15+H16*Assumptions!$F$16+I16*Assumptions!$F$17+J16*Assumptions!$F$18+K16*Assumptions!$F$19+L16*Assumptions!$F$20+M16*Assumptions!$F$21,1)</x:f>
        <x:v>76.7</x:v>
      </x:c>
      <x:c r="O16" s="174" t="str">
        <x:f>IF(N16&gt;=Assumptions!$F$8,"Trophy",IF(N16&gt;=Assumptions!$F$7,"Prime",IF(N16&gt;=Assumptions!$F$6,"Premium",IF(N16&gt;=Assumptions!$F$5,"Growth","Entry"))))</x:f>
        <x:v>Prime</x:v>
      </x:c>
      <x:c r="P16" s="175" t="n">
        <x:f>MAX(0.8,MIN(1.25,1+(E16-50)*0.002+(F16-50)*0.0025+(G16-50)*0.0015))</x:f>
        <x:v>1.161</x:v>
      </x:c>
      <x:c r="Q16" s="175" t="n">
        <x:f>MAX(0.85,MIN(1.20,1+(H16-50)*0.002+(I16-50)*0.002+(L16-50)*0.0008))</x:f>
        <x:v>1.1304</x:v>
      </x:c>
      <x:c r="R16" s="175" t="n">
        <x:f>MAX(0.90,MIN(1.15,1+(J16-50)*0.0015+(G16-50)*0.0008+(E16-50)*0.0005))</x:f>
        <x:v>1.0594</x:v>
      </x:c>
      <x:c r="S16" s="175" t="n">
        <x:f>MAX(0.90,MIN(1.15,1+(K16-50)*0.0015+(L16-50)*0.0007+(H16-50)*0.0005))</x:f>
        <x:v>1.0306</x:v>
      </x:c>
      <x:c r="T16" s="174" t="n">
        <x:f>IF(AND(Assumptions!$B$14=1,O16="Trophy"),12,0)</x:f>
        <x:v>0</x:v>
      </x:c>
      <x:c r="U16" s="107" t="str"/>
    </x:row>
    <x:row r="17">
      <x:c r="A17" s="107" t="str">
        <x:v>B08</x:v>
      </x:c>
      <x:c r="B17" s="107" t="n">
        <x:v>21</x:v>
      </x:c>
      <x:c r="C17" s="107" t="str">
        <x:v>B</x:v>
      </x:c>
      <x:c r="D17" s="107" t="str">
        <x:v>East commercial connector</x:v>
      </x:c>
      <x:c r="E17" s="172" t="n">
        <x:v>78</x:v>
      </x:c>
      <x:c r="F17" s="172" t="n">
        <x:v>72</x:v>
      </x:c>
      <x:c r="G17" s="172" t="n">
        <x:v>82</x:v>
      </x:c>
      <x:c r="H17" s="172" t="n">
        <x:v>72</x:v>
      </x:c>
      <x:c r="I17" s="172" t="n">
        <x:v>80</x:v>
      </x:c>
      <x:c r="J17" s="172" t="n">
        <x:v>58</x:v>
      </x:c>
      <x:c r="K17" s="172" t="n">
        <x:v>56</x:v>
      </x:c>
      <x:c r="L17" s="172" t="n">
        <x:v>56</x:v>
      </x:c>
      <x:c r="M17" s="172" t="n">
        <x:v>78</x:v>
      </x:c>
      <x:c r="N17" s="173" t="n">
        <x:f>ROUND(E17*Assumptions!$F$13+F17*Assumptions!$F$14+G17*Assumptions!$F$15+H17*Assumptions!$F$16+I17*Assumptions!$F$17+J17*Assumptions!$F$18+K17*Assumptions!$F$19+L17*Assumptions!$F$20+M17*Assumptions!$F$21,1)</x:f>
        <x:v>73.8</x:v>
      </x:c>
      <x:c r="O17" s="174" t="str">
        <x:f>IF(N17&gt;=Assumptions!$F$8,"Trophy",IF(N17&gt;=Assumptions!$F$7,"Prime",IF(N17&gt;=Assumptions!$F$6,"Premium",IF(N17&gt;=Assumptions!$F$5,"Growth","Entry"))))</x:f>
        <x:v>Premium</x:v>
      </x:c>
      <x:c r="P17" s="175" t="n">
        <x:f>MAX(0.8,MIN(1.25,1+(E17-50)*0.002+(F17-50)*0.0025+(G17-50)*0.0015))</x:f>
        <x:v>1.159</x:v>
      </x:c>
      <x:c r="Q17" s="175" t="n">
        <x:f>MAX(0.85,MIN(1.20,1+(H17-50)*0.002+(I17-50)*0.002+(L17-50)*0.0008))</x:f>
        <x:v>1.1088</x:v>
      </x:c>
      <x:c r="R17" s="175" t="n">
        <x:f>MAX(0.90,MIN(1.15,1+(J17-50)*0.0015+(G17-50)*0.0008+(E17-50)*0.0005))</x:f>
        <x:v>1.0516</x:v>
      </x:c>
      <x:c r="S17" s="175" t="n">
        <x:f>MAX(0.90,MIN(1.15,1+(K17-50)*0.0015+(L17-50)*0.0007+(H17-50)*0.0005))</x:f>
        <x:v>1.0241999999999998</x:v>
      </x:c>
      <x:c r="T17" s="174" t="n">
        <x:f>IF(AND(Assumptions!$B$14=1,O17="Trophy"),12,0)</x:f>
        <x:v>0</x:v>
      </x:c>
      <x:c r="U17" s="107" t="str"/>
    </x:row>
    <x:row r="18">
      <x:c r="A18" s="107" t="str">
        <x:v>B09</x:v>
      </x:c>
      <x:c r="B18" s="107" t="n">
        <x:v>22</x:v>
      </x:c>
      <x:c r="C18" s="107" t="str">
        <x:v>B</x:v>
      </x:c>
      <x:c r="D18" s="107" t="str">
        <x:v>West growth corridor</x:v>
      </x:c>
      <x:c r="E18" s="172" t="n">
        <x:v>58</x:v>
      </x:c>
      <x:c r="F18" s="172" t="n">
        <x:v>64</x:v>
      </x:c>
      <x:c r="G18" s="172" t="n">
        <x:v>74</x:v>
      </x:c>
      <x:c r="H18" s="172" t="n">
        <x:v>56</x:v>
      </x:c>
      <x:c r="I18" s="172" t="n">
        <x:v>56</x:v>
      </x:c>
      <x:c r="J18" s="172" t="n">
        <x:v>44</x:v>
      </x:c>
      <x:c r="K18" s="172" t="n">
        <x:v>50</x:v>
      </x:c>
      <x:c r="L18" s="172" t="n">
        <x:v>76</x:v>
      </x:c>
      <x:c r="M18" s="172" t="n">
        <x:v>72</x:v>
      </x:c>
      <x:c r="N18" s="173" t="n">
        <x:f>ROUND(E18*Assumptions!$F$13+F18*Assumptions!$F$14+G18*Assumptions!$F$15+H18*Assumptions!$F$16+I18*Assumptions!$F$17+J18*Assumptions!$F$18+K18*Assumptions!$F$19+L18*Assumptions!$F$20+M18*Assumptions!$F$21,1)</x:f>
        <x:v>60.5</x:v>
      </x:c>
      <x:c r="O18" s="174" t="str">
        <x:f>IF(N18&gt;=Assumptions!$F$8,"Trophy",IF(N18&gt;=Assumptions!$F$7,"Prime",IF(N18&gt;=Assumptions!$F$6,"Premium",IF(N18&gt;=Assumptions!$F$5,"Growth","Entry"))))</x:f>
        <x:v>Growth</x:v>
      </x:c>
      <x:c r="P18" s="175" t="n">
        <x:f>MAX(0.8,MIN(1.25,1+(E18-50)*0.002+(F18-50)*0.0025+(G18-50)*0.0015))</x:f>
        <x:v>1.087</x:v>
      </x:c>
      <x:c r="Q18" s="175" t="n">
        <x:f>MAX(0.85,MIN(1.20,1+(H18-50)*0.002+(I18-50)*0.002+(L18-50)*0.0008))</x:f>
        <x:v>1.0448</x:v>
      </x:c>
      <x:c r="R18" s="175" t="n">
        <x:f>MAX(0.90,MIN(1.15,1+(J18-50)*0.0015+(G18-50)*0.0008+(E18-50)*0.0005))</x:f>
        <x:v>1.0142</x:v>
      </x:c>
      <x:c r="S18" s="175" t="n">
        <x:f>MAX(0.90,MIN(1.15,1+(K18-50)*0.0015+(L18-50)*0.0007+(H18-50)*0.0005))</x:f>
        <x:v>1.0211999999999999</x:v>
      </x:c>
      <x:c r="T18" s="174" t="n">
        <x:f>IF(AND(Assumptions!$B$14=1,O18="Trophy"),12,0)</x:f>
        <x:v>0</x:v>
      </x:c>
      <x:c r="U18" s="107" t="str"/>
    </x:row>
    <x:row r="19">
      <x:c r="A19" s="107" t="str">
        <x:v>B10</x:v>
      </x:c>
      <x:c r="B19" s="107" t="n">
        <x:v>27</x:v>
      </x:c>
      <x:c r="C19" s="107" t="str">
        <x:v>B</x:v>
      </x:c>
      <x:c r="D19" s="107" t="str">
        <x:v>East growth corridor</x:v>
      </x:c>
      <x:c r="E19" s="172" t="n">
        <x:v>72</x:v>
      </x:c>
      <x:c r="F19" s="172" t="n">
        <x:v>66</x:v>
      </x:c>
      <x:c r="G19" s="172" t="n">
        <x:v>76</x:v>
      </x:c>
      <x:c r="H19" s="172" t="n">
        <x:v>72</x:v>
      </x:c>
      <x:c r="I19" s="172" t="n">
        <x:v>74</x:v>
      </x:c>
      <x:c r="J19" s="172" t="n">
        <x:v>54</x:v>
      </x:c>
      <x:c r="K19" s="172" t="n">
        <x:v>54</x:v>
      </x:c>
      <x:c r="L19" s="172" t="n">
        <x:v>62</x:v>
      </x:c>
      <x:c r="M19" s="172" t="n">
        <x:v>70</x:v>
      </x:c>
      <x:c r="N19" s="173" t="n">
        <x:f>ROUND(E19*Assumptions!$F$13+F19*Assumptions!$F$14+G19*Assumptions!$F$15+H19*Assumptions!$F$16+I19*Assumptions!$F$17+J19*Assumptions!$F$18+K19*Assumptions!$F$19+L19*Assumptions!$F$20+M19*Assumptions!$F$21,1)</x:f>
        <x:v>69.4</x:v>
      </x:c>
      <x:c r="O19" s="174" t="str">
        <x:f>IF(N19&gt;=Assumptions!$F$8,"Trophy",IF(N19&gt;=Assumptions!$F$7,"Prime",IF(N19&gt;=Assumptions!$F$6,"Premium",IF(N19&gt;=Assumptions!$F$5,"Growth","Entry"))))</x:f>
        <x:v>Premium</x:v>
      </x:c>
      <x:c r="P19" s="175" t="n">
        <x:f>MAX(0.8,MIN(1.25,1+(E19-50)*0.002+(F19-50)*0.0025+(G19-50)*0.0015))</x:f>
        <x:v>1.123</x:v>
      </x:c>
      <x:c r="Q19" s="175" t="n">
        <x:f>MAX(0.85,MIN(1.20,1+(H19-50)*0.002+(I19-50)*0.002+(L19-50)*0.0008))</x:f>
        <x:v>1.1016000000000001</x:v>
      </x:c>
      <x:c r="R19" s="175" t="n">
        <x:f>MAX(0.90,MIN(1.15,1+(J19-50)*0.0015+(G19-50)*0.0008+(E19-50)*0.0005))</x:f>
        <x:v>1.0377999999999998</x:v>
      </x:c>
      <x:c r="S19" s="175" t="n">
        <x:f>MAX(0.90,MIN(1.15,1+(K19-50)*0.0015+(L19-50)*0.0007+(H19-50)*0.0005))</x:f>
        <x:v>1.0253999999999999</x:v>
      </x:c>
      <x:c r="T19" s="174" t="n">
        <x:f>IF(AND(Assumptions!$B$14=1,O19="Trophy"),12,0)</x:f>
        <x:v>0</x:v>
      </x:c>
      <x:c r="U19" s="107" t="str"/>
    </x:row>
    <x:row r="20">
      <x:c r="A20" s="107" t="str">
        <x:v>B11</x:v>
      </x:c>
      <x:c r="B20" s="107" t="n">
        <x:v>29</x:v>
      </x:c>
      <x:c r="C20" s="107" t="str">
        <x:v>B</x:v>
      </x:c>
      <x:c r="D20" s="107" t="str">
        <x:v>South inner-west</x:v>
      </x:c>
      <x:c r="E20" s="172" t="n">
        <x:v>60</x:v>
      </x:c>
      <x:c r="F20" s="172" t="n">
        <x:v>58</x:v>
      </x:c>
      <x:c r="G20" s="172" t="n">
        <x:v>66</x:v>
      </x:c>
      <x:c r="H20" s="172" t="n">
        <x:v>62</x:v>
      </x:c>
      <x:c r="I20" s="172" t="n">
        <x:v>60</x:v>
      </x:c>
      <x:c r="J20" s="172" t="n">
        <x:v>50</x:v>
      </x:c>
      <x:c r="K20" s="172" t="n">
        <x:v>52</x:v>
      </x:c>
      <x:c r="L20" s="172" t="n">
        <x:v>78</x:v>
      </x:c>
      <x:c r="M20" s="172" t="n">
        <x:v>78</x:v>
      </x:c>
      <x:c r="N20" s="173" t="n">
        <x:f>ROUND(E20*Assumptions!$F$13+F20*Assumptions!$F$14+G20*Assumptions!$F$15+H20*Assumptions!$F$16+I20*Assumptions!$F$17+J20*Assumptions!$F$18+K20*Assumptions!$F$19+L20*Assumptions!$F$20+M20*Assumptions!$F$21,1)</x:f>
        <x:v>61.5</x:v>
      </x:c>
      <x:c r="O20" s="174" t="str">
        <x:f>IF(N20&gt;=Assumptions!$F$8,"Trophy",IF(N20&gt;=Assumptions!$F$7,"Prime",IF(N20&gt;=Assumptions!$F$6,"Premium",IF(N20&gt;=Assumptions!$F$5,"Growth","Entry"))))</x:f>
        <x:v>Growth</x:v>
      </x:c>
      <x:c r="P20" s="175" t="n">
        <x:f>MAX(0.8,MIN(1.25,1+(E20-50)*0.002+(F20-50)*0.0025+(G20-50)*0.0015))</x:f>
        <x:v>1.064</x:v>
      </x:c>
      <x:c r="Q20" s="175" t="n">
        <x:f>MAX(0.85,MIN(1.20,1+(H20-50)*0.002+(I20-50)*0.002+(L20-50)*0.0008))</x:f>
        <x:v>1.0664</x:v>
      </x:c>
      <x:c r="R20" s="175" t="n">
        <x:f>MAX(0.90,MIN(1.15,1+(J20-50)*0.0015+(G20-50)*0.0008+(E20-50)*0.0005))</x:f>
        <x:v>1.0177999999999998</x:v>
      </x:c>
      <x:c r="S20" s="175" t="n">
        <x:f>MAX(0.90,MIN(1.15,1+(K20-50)*0.0015+(L20-50)*0.0007+(H20-50)*0.0005))</x:f>
        <x:v>1.0286</x:v>
      </x:c>
      <x:c r="T20" s="174" t="n">
        <x:f>IF(AND(Assumptions!$B$14=1,O20="Trophy"),12,0)</x:f>
        <x:v>0</x:v>
      </x:c>
      <x:c r="U20" s="107" t="str"/>
    </x:row>
    <x:row r="21">
      <x:c r="A21" s="107" t="str">
        <x:v>B12</x:v>
      </x:c>
      <x:c r="B21" s="107" t="n">
        <x:v>30</x:v>
      </x:c>
      <x:c r="C21" s="107" t="str">
        <x:v>B</x:v>
      </x:c>
      <x:c r="D21" s="107" t="str">
        <x:v>South inner core</x:v>
      </x:c>
      <x:c r="E21" s="172" t="n">
        <x:v>70</x:v>
      </x:c>
      <x:c r="F21" s="172" t="n">
        <x:v>62</x:v>
      </x:c>
      <x:c r="G21" s="172" t="n">
        <x:v>68</x:v>
      </x:c>
      <x:c r="H21" s="172" t="n">
        <x:v>68</x:v>
      </x:c>
      <x:c r="I21" s="172" t="n">
        <x:v>72</x:v>
      </x:c>
      <x:c r="J21" s="172" t="n">
        <x:v>58</x:v>
      </x:c>
      <x:c r="K21" s="172" t="n">
        <x:v>56</x:v>
      </x:c>
      <x:c r="L21" s="172" t="n">
        <x:v>74</x:v>
      </x:c>
      <x:c r="M21" s="172" t="n">
        <x:v>82</x:v>
      </x:c>
      <x:c r="N21" s="173" t="n">
        <x:f>ROUND(E21*Assumptions!$F$13+F21*Assumptions!$F$14+G21*Assumptions!$F$15+H21*Assumptions!$F$16+I21*Assumptions!$F$17+J21*Assumptions!$F$18+K21*Assumptions!$F$19+L21*Assumptions!$F$20+M21*Assumptions!$F$21,1)</x:f>
        <x:v>68.1</x:v>
      </x:c>
      <x:c r="O21" s="174" t="str">
        <x:f>IF(N21&gt;=Assumptions!$F$8,"Trophy",IF(N21&gt;=Assumptions!$F$7,"Prime",IF(N21&gt;=Assumptions!$F$6,"Premium",IF(N21&gt;=Assumptions!$F$5,"Growth","Entry"))))</x:f>
        <x:v>Premium</x:v>
      </x:c>
      <x:c r="P21" s="175" t="n">
        <x:f>MAX(0.8,MIN(1.25,1+(E21-50)*0.002+(F21-50)*0.0025+(G21-50)*0.0015))</x:f>
        <x:v>1.097</x:v>
      </x:c>
      <x:c r="Q21" s="175" t="n">
        <x:f>MAX(0.85,MIN(1.20,1+(H21-50)*0.002+(I21-50)*0.002+(L21-50)*0.0008))</x:f>
        <x:v>1.0992000000000002</x:v>
      </x:c>
      <x:c r="R21" s="175" t="n">
        <x:f>MAX(0.90,MIN(1.15,1+(J21-50)*0.0015+(G21-50)*0.0008+(E21-50)*0.0005))</x:f>
        <x:v>1.0364</x:v>
      </x:c>
      <x:c r="S21" s="175" t="n">
        <x:f>MAX(0.90,MIN(1.15,1+(K21-50)*0.0015+(L21-50)*0.0007+(H21-50)*0.0005))</x:f>
        <x:v>1.0347999999999997</x:v>
      </x:c>
      <x:c r="T21" s="174" t="n">
        <x:f>IF(AND(Assumptions!$B$14=1,O21="Trophy"),12,0)</x:f>
        <x:v>0</x:v>
      </x:c>
      <x:c r="U21" s="107" t="str"/>
    </x:row>
    <x:row r="22">
      <x:c r="A22" s="107" t="str">
        <x:v>C01</x:v>
      </x:c>
      <x:c r="B22" s="107" t="n">
        <x:v>1</x:v>
      </x:c>
      <x:c r="C22" s="107" t="str">
        <x:v>C</x:v>
      </x:c>
      <x:c r="D22" s="107" t="str">
        <x:v>North commercial cluster</x:v>
      </x:c>
      <x:c r="E22" s="172" t="n">
        <x:v>78</x:v>
      </x:c>
      <x:c r="F22" s="172" t="n">
        <x:v>62</x:v>
      </x:c>
      <x:c r="G22" s="172" t="n">
        <x:v>70</x:v>
      </x:c>
      <x:c r="H22" s="172" t="n">
        <x:v>74</x:v>
      </x:c>
      <x:c r="I22" s="172" t="n">
        <x:v>82</x:v>
      </x:c>
      <x:c r="J22" s="172" t="n">
        <x:v>66</x:v>
      </x:c>
      <x:c r="K22" s="172" t="n">
        <x:v>55</x:v>
      </x:c>
      <x:c r="L22" s="172" t="n">
        <x:v>58</x:v>
      </x:c>
      <x:c r="M22" s="172" t="n">
        <x:v>72</x:v>
      </x:c>
      <x:c r="N22" s="173" t="n">
        <x:f>ROUND(E22*Assumptions!$F$13+F22*Assumptions!$F$14+G22*Assumptions!$F$15+H22*Assumptions!$F$16+I22*Assumptions!$F$17+J22*Assumptions!$F$18+K22*Assumptions!$F$19+L22*Assumptions!$F$20+M22*Assumptions!$F$21,1)</x:f>
        <x:v>71.9</x:v>
      </x:c>
      <x:c r="O22" s="174" t="str">
        <x:f>IF(N22&gt;=Assumptions!$F$8,"Trophy",IF(N22&gt;=Assumptions!$F$7,"Prime",IF(N22&gt;=Assumptions!$F$6,"Premium",IF(N22&gt;=Assumptions!$F$5,"Growth","Entry"))))</x:f>
        <x:v>Premium</x:v>
      </x:c>
      <x:c r="P22" s="175" t="n">
        <x:f>MAX(0.8,MIN(1.25,1+(E22-50)*0.002+(F22-50)*0.0025+(G22-50)*0.0015))</x:f>
        <x:v>1.116</x:v>
      </x:c>
      <x:c r="Q22" s="175" t="n">
        <x:f>MAX(0.85,MIN(1.20,1+(H22-50)*0.002+(I22-50)*0.002+(L22-50)*0.0008))</x:f>
        <x:v>1.1184</x:v>
      </x:c>
      <x:c r="R22" s="175" t="n">
        <x:f>MAX(0.90,MIN(1.15,1+(J22-50)*0.0015+(G22-50)*0.0008+(E22-50)*0.0005))</x:f>
        <x:v>1.054</x:v>
      </x:c>
      <x:c r="S22" s="175" t="n">
        <x:f>MAX(0.90,MIN(1.15,1+(K22-50)*0.0015+(L22-50)*0.0007+(H22-50)*0.0005))</x:f>
        <x:v>1.0251000000000001</x:v>
      </x:c>
      <x:c r="T22" s="174" t="n">
        <x:f>IF(AND(Assumptions!$B$14=1,O22="Trophy"),12,0)</x:f>
        <x:v>0</x:v>
      </x:c>
      <x:c r="U22" s="107" t="str"/>
    </x:row>
    <x:row r="23">
      <x:c r="A23" s="107" t="str">
        <x:v>C02</x:v>
      </x:c>
      <x:c r="B23" s="107" t="n">
        <x:v>3</x:v>
      </x:c>
      <x:c r="C23" s="107" t="str">
        <x:v>C</x:v>
      </x:c>
      <x:c r="D23" s="107" t="str">
        <x:v>North-west office cluster</x:v>
      </x:c>
      <x:c r="E23" s="172" t="n">
        <x:v>72</x:v>
      </x:c>
      <x:c r="F23" s="172" t="n">
        <x:v>66</x:v>
      </x:c>
      <x:c r="G23" s="172" t="n">
        <x:v>76</x:v>
      </x:c>
      <x:c r="H23" s="172" t="n">
        <x:v>68</x:v>
      </x:c>
      <x:c r="I23" s="172" t="n">
        <x:v>70</x:v>
      </x:c>
      <x:c r="J23" s="172" t="n">
        <x:v>58</x:v>
      </x:c>
      <x:c r="K23" s="172" t="n">
        <x:v>52</x:v>
      </x:c>
      <x:c r="L23" s="172" t="n">
        <x:v>62</x:v>
      </x:c>
      <x:c r="M23" s="172" t="n">
        <x:v>60</x:v>
      </x:c>
      <x:c r="N23" s="173" t="n">
        <x:f>ROUND(E23*Assumptions!$F$13+F23*Assumptions!$F$14+G23*Assumptions!$F$15+H23*Assumptions!$F$16+I23*Assumptions!$F$17+J23*Assumptions!$F$18+K23*Assumptions!$F$19+L23*Assumptions!$F$20+M23*Assumptions!$F$21,1)</x:f>
        <x:v>68</x:v>
      </x:c>
      <x:c r="O23" s="174" t="str">
        <x:f>IF(N23&gt;=Assumptions!$F$8,"Trophy",IF(N23&gt;=Assumptions!$F$7,"Prime",IF(N23&gt;=Assumptions!$F$6,"Premium",IF(N23&gt;=Assumptions!$F$5,"Growth","Entry"))))</x:f>
        <x:v>Premium</x:v>
      </x:c>
      <x:c r="P23" s="175" t="n">
        <x:f>MAX(0.8,MIN(1.25,1+(E23-50)*0.002+(F23-50)*0.0025+(G23-50)*0.0015))</x:f>
        <x:v>1.123</x:v>
      </x:c>
      <x:c r="Q23" s="175" t="n">
        <x:f>MAX(0.85,MIN(1.20,1+(H23-50)*0.002+(I23-50)*0.002+(L23-50)*0.0008))</x:f>
        <x:v>1.0856000000000001</x:v>
      </x:c>
      <x:c r="R23" s="175" t="n">
        <x:f>MAX(0.90,MIN(1.15,1+(J23-50)*0.0015+(G23-50)*0.0008+(E23-50)*0.0005))</x:f>
        <x:v>1.0437999999999998</x:v>
      </x:c>
      <x:c r="S23" s="175" t="n">
        <x:f>MAX(0.90,MIN(1.15,1+(K23-50)*0.0015+(L23-50)*0.0007+(H23-50)*0.0005))</x:f>
        <x:v>1.0203999999999998</x:v>
      </x:c>
      <x:c r="T23" s="174" t="n">
        <x:f>IF(AND(Assumptions!$B$14=1,O23="Trophy"),12,0)</x:f>
        <x:v>0</x:v>
      </x:c>
      <x:c r="U23" s="107" t="str"/>
    </x:row>
    <x:row r="24">
      <x:c r="A24" s="107" t="str">
        <x:v>C03</x:v>
      </x:c>
      <x:c r="B24" s="107" t="n">
        <x:v>4</x:v>
      </x:c>
      <x:c r="C24" s="107" t="str">
        <x:v>C</x:v>
      </x:c>
      <x:c r="D24" s="107" t="str">
        <x:v>North commercial corridor</x:v>
      </x:c>
      <x:c r="E24" s="172" t="n">
        <x:v>75</x:v>
      </x:c>
      <x:c r="F24" s="172" t="n">
        <x:v>60</x:v>
      </x:c>
      <x:c r="G24" s="172" t="n">
        <x:v>68</x:v>
      </x:c>
      <x:c r="H24" s="172" t="n">
        <x:v>70</x:v>
      </x:c>
      <x:c r="I24" s="172" t="n">
        <x:v>78</x:v>
      </x:c>
      <x:c r="J24" s="172" t="n">
        <x:v>65</x:v>
      </x:c>
      <x:c r="K24" s="172" t="n">
        <x:v>55</x:v>
      </x:c>
      <x:c r="L24" s="172" t="n">
        <x:v>60</x:v>
      </x:c>
      <x:c r="M24" s="172" t="n">
        <x:v>78</x:v>
      </x:c>
      <x:c r="N24" s="173" t="n">
        <x:f>ROUND(E24*Assumptions!$F$13+F24*Assumptions!$F$14+G24*Assumptions!$F$15+H24*Assumptions!$F$16+I24*Assumptions!$F$17+J24*Assumptions!$F$18+K24*Assumptions!$F$19+L24*Assumptions!$F$20+M24*Assumptions!$F$21,1)</x:f>
        <x:v>69.9</x:v>
      </x:c>
      <x:c r="O24" s="174" t="str">
        <x:f>IF(N24&gt;=Assumptions!$F$8,"Trophy",IF(N24&gt;=Assumptions!$F$7,"Prime",IF(N24&gt;=Assumptions!$F$6,"Premium",IF(N24&gt;=Assumptions!$F$5,"Growth","Entry"))))</x:f>
        <x:v>Premium</x:v>
      </x:c>
      <x:c r="P24" s="175" t="n">
        <x:f>MAX(0.8,MIN(1.25,1+(E24-50)*0.002+(F24-50)*0.0025+(G24-50)*0.0015))</x:f>
        <x:v>1.1019999999999999</x:v>
      </x:c>
      <x:c r="Q24" s="175" t="n">
        <x:f>MAX(0.85,MIN(1.20,1+(H24-50)*0.002+(I24-50)*0.002+(L24-50)*0.0008))</x:f>
        <x:v>1.104</x:v>
      </x:c>
      <x:c r="R24" s="175" t="n">
        <x:f>MAX(0.90,MIN(1.15,1+(J24-50)*0.0015+(G24-50)*0.0008+(E24-50)*0.0005))</x:f>
        <x:v>1.0493999999999999</x:v>
      </x:c>
      <x:c r="S24" s="175" t="n">
        <x:f>MAX(0.90,MIN(1.15,1+(K24-50)*0.0015+(L24-50)*0.0007+(H24-50)*0.0005))</x:f>
        <x:v>1.0245</x:v>
      </x:c>
      <x:c r="T24" s="174" t="n">
        <x:f>IF(AND(Assumptions!$B$14=1,O24="Trophy"),12,0)</x:f>
        <x:v>0</x:v>
      </x:c>
      <x:c r="U24" s="107" t="str"/>
    </x:row>
    <x:row r="25">
      <x:c r="A25" s="107" t="str">
        <x:v>C04</x:v>
      </x:c>
      <x:c r="B25" s="107" t="n">
        <x:v>6</x:v>
      </x:c>
      <x:c r="C25" s="107" t="str">
        <x:v>C</x:v>
      </x:c>
      <x:c r="D25" s="107" t="str">
        <x:v>East office cluster</x:v>
      </x:c>
      <x:c r="E25" s="172" t="n">
        <x:v>70</x:v>
      </x:c>
      <x:c r="F25" s="172" t="n">
        <x:v>62</x:v>
      </x:c>
      <x:c r="G25" s="172" t="n">
        <x:v>74</x:v>
      </x:c>
      <x:c r="H25" s="172" t="n">
        <x:v>68</x:v>
      </x:c>
      <x:c r="I25" s="172" t="n">
        <x:v>72</x:v>
      </x:c>
      <x:c r="J25" s="172" t="n">
        <x:v>55</x:v>
      </x:c>
      <x:c r="K25" s="172" t="n">
        <x:v>54</x:v>
      </x:c>
      <x:c r="L25" s="172" t="n">
        <x:v>56</x:v>
      </x:c>
      <x:c r="M25" s="172" t="n">
        <x:v>58</x:v>
      </x:c>
      <x:c r="N25" s="173" t="n">
        <x:f>ROUND(E25*Assumptions!$F$13+F25*Assumptions!$F$14+G25*Assumptions!$F$15+H25*Assumptions!$F$16+I25*Assumptions!$F$17+J25*Assumptions!$F$18+K25*Assumptions!$F$19+L25*Assumptions!$F$20+M25*Assumptions!$F$21,1)</x:f>
        <x:v>66.6</x:v>
      </x:c>
      <x:c r="O25" s="174" t="str">
        <x:f>IF(N25&gt;=Assumptions!$F$8,"Trophy",IF(N25&gt;=Assumptions!$F$7,"Prime",IF(N25&gt;=Assumptions!$F$6,"Premium",IF(N25&gt;=Assumptions!$F$5,"Growth","Entry"))))</x:f>
        <x:v>Premium</x:v>
      </x:c>
      <x:c r="P25" s="175" t="n">
        <x:f>MAX(0.8,MIN(1.25,1+(E25-50)*0.002+(F25-50)*0.0025+(G25-50)*0.0015))</x:f>
        <x:v>1.106</x:v>
      </x:c>
      <x:c r="Q25" s="175" t="n">
        <x:f>MAX(0.85,MIN(1.20,1+(H25-50)*0.002+(I25-50)*0.002+(L25-50)*0.0008))</x:f>
        <x:v>1.0848</x:v>
      </x:c>
      <x:c r="R25" s="175" t="n">
        <x:f>MAX(0.90,MIN(1.15,1+(J25-50)*0.0015+(G25-50)*0.0008+(E25-50)*0.0005))</x:f>
        <x:v>1.0367000000000002</x:v>
      </x:c>
      <x:c r="S25" s="175" t="n">
        <x:f>MAX(0.90,MIN(1.15,1+(K25-50)*0.0015+(L25-50)*0.0007+(H25-50)*0.0005))</x:f>
        <x:v>1.0191999999999999</x:v>
      </x:c>
      <x:c r="T25" s="174" t="n">
        <x:f>IF(AND(Assumptions!$B$14=1,O25="Trophy"),12,0)</x:f>
        <x:v>0</x:v>
      </x:c>
      <x:c r="U25" s="107" t="str"/>
    </x:row>
    <x:row r="26">
      <x:c r="A26" s="107" t="str">
        <x:v>C05</x:v>
      </x:c>
      <x:c r="B26" s="107" t="n">
        <x:v>18</x:v>
      </x:c>
      <x:c r="C26" s="107" t="str">
        <x:v>C</x:v>
      </x:c>
      <x:c r="D26" s="107" t="str">
        <x:v>Outer west parks/roads</x:v>
      </x:c>
      <x:c r="E26" s="172" t="n">
        <x:v>50</x:v>
      </x:c>
      <x:c r="F26" s="172" t="n">
        <x:v>58</x:v>
      </x:c>
      <x:c r="G26" s="172" t="n">
        <x:v>76</x:v>
      </x:c>
      <x:c r="H26" s="172" t="n">
        <x:v>52</x:v>
      </x:c>
      <x:c r="I26" s="172" t="n">
        <x:v>48</x:v>
      </x:c>
      <x:c r="J26" s="172" t="n">
        <x:v>40</x:v>
      </x:c>
      <x:c r="K26" s="172" t="n">
        <x:v>48</x:v>
      </x:c>
      <x:c r="L26" s="172" t="n">
        <x:v>82</x:v>
      </x:c>
      <x:c r="M26" s="172" t="n">
        <x:v>48</x:v>
      </x:c>
      <x:c r="N26" s="173" t="n">
        <x:f>ROUND(E26*Assumptions!$F$13+F26*Assumptions!$F$14+G26*Assumptions!$F$15+H26*Assumptions!$F$16+I26*Assumptions!$F$17+J26*Assumptions!$F$18+K26*Assumptions!$F$19+L26*Assumptions!$F$20+M26*Assumptions!$F$21,1)</x:f>
        <x:v>55.2</x:v>
      </x:c>
      <x:c r="O26" s="174" t="str">
        <x:f>IF(N26&gt;=Assumptions!$F$8,"Trophy",IF(N26&gt;=Assumptions!$F$7,"Prime",IF(N26&gt;=Assumptions!$F$6,"Premium",IF(N26&gt;=Assumptions!$F$5,"Growth","Entry"))))</x:f>
        <x:v>Growth</x:v>
      </x:c>
      <x:c r="P26" s="175" t="n">
        <x:f>MAX(0.8,MIN(1.25,1+(E26-50)*0.002+(F26-50)*0.0025+(G26-50)*0.0015))</x:f>
        <x:v>1.059</x:v>
      </x:c>
      <x:c r="Q26" s="175" t="n">
        <x:f>MAX(0.85,MIN(1.20,1+(H26-50)*0.002+(I26-50)*0.002+(L26-50)*0.0008))</x:f>
        <x:v>1.0256</x:v>
      </x:c>
      <x:c r="R26" s="175" t="n">
        <x:f>MAX(0.90,MIN(1.15,1+(J26-50)*0.0015+(G26-50)*0.0008+(E26-50)*0.0005))</x:f>
        <x:v>1.0058</x:v>
      </x:c>
      <x:c r="S26" s="175" t="n">
        <x:f>MAX(0.90,MIN(1.15,1+(K26-50)*0.0015+(L26-50)*0.0007+(H26-50)*0.0005))</x:f>
        <x:v>1.0204</x:v>
      </x:c>
      <x:c r="T26" s="174" t="n">
        <x:f>IF(AND(Assumptions!$B$14=1,O26="Trophy"),12,0)</x:f>
        <x:v>0</x:v>
      </x:c>
      <x:c r="U26" s="107" t="str"/>
    </x:row>
    <x:row r="27">
      <x:c r="A27" s="107" t="str">
        <x:v>C06</x:v>
      </x:c>
      <x:c r="B27" s="107" t="n">
        <x:v>23</x:v>
      </x:c>
      <x:c r="C27" s="107" t="str">
        <x:v>C</x:v>
      </x:c>
      <x:c r="D27" s="107" t="str">
        <x:v>Outer east office/park</x:v>
      </x:c>
      <x:c r="E27" s="172" t="n">
        <x:v>62</x:v>
      </x:c>
      <x:c r="F27" s="172" t="n">
        <x:v>58</x:v>
      </x:c>
      <x:c r="G27" s="172" t="n">
        <x:v>70</x:v>
      </x:c>
      <x:c r="H27" s="172" t="n">
        <x:v>64</x:v>
      </x:c>
      <x:c r="I27" s="172" t="n">
        <x:v>64</x:v>
      </x:c>
      <x:c r="J27" s="172" t="n">
        <x:v>50</x:v>
      </x:c>
      <x:c r="K27" s="172" t="n">
        <x:v>52</x:v>
      </x:c>
      <x:c r="L27" s="172" t="n">
        <x:v>66</x:v>
      </x:c>
      <x:c r="M27" s="172" t="n">
        <x:v>55</x:v>
      </x:c>
      <x:c r="N27" s="173" t="n">
        <x:f>ROUND(E27*Assumptions!$F$13+F27*Assumptions!$F$14+G27*Assumptions!$F$15+H27*Assumptions!$F$16+I27*Assumptions!$F$17+J27*Assumptions!$F$18+K27*Assumptions!$F$19+L27*Assumptions!$F$20+M27*Assumptions!$F$21,1)</x:f>
        <x:v>61.7</x:v>
      </x:c>
      <x:c r="O27" s="174" t="str">
        <x:f>IF(N27&gt;=Assumptions!$F$8,"Trophy",IF(N27&gt;=Assumptions!$F$7,"Prime",IF(N27&gt;=Assumptions!$F$6,"Premium",IF(N27&gt;=Assumptions!$F$5,"Growth","Entry"))))</x:f>
        <x:v>Growth</x:v>
      </x:c>
      <x:c r="P27" s="175" t="n">
        <x:f>MAX(0.8,MIN(1.25,1+(E27-50)*0.002+(F27-50)*0.0025+(G27-50)*0.0015))</x:f>
        <x:v>1.074</x:v>
      </x:c>
      <x:c r="Q27" s="175" t="n">
        <x:f>MAX(0.85,MIN(1.20,1+(H27-50)*0.002+(I27-50)*0.002+(L27-50)*0.0008))</x:f>
        <x:v>1.0688</x:v>
      </x:c>
      <x:c r="R27" s="175" t="n">
        <x:f>MAX(0.90,MIN(1.15,1+(J27-50)*0.0015+(G27-50)*0.0008+(E27-50)*0.0005))</x:f>
        <x:v>1.022</x:v>
      </x:c>
      <x:c r="S27" s="175" t="n">
        <x:f>MAX(0.90,MIN(1.15,1+(K27-50)*0.0015+(L27-50)*0.0007+(H27-50)*0.0005))</x:f>
        <x:v>1.0211999999999999</x:v>
      </x:c>
      <x:c r="T27" s="174" t="n">
        <x:f>IF(AND(Assumptions!$B$14=1,O27="Trophy"),12,0)</x:f>
        <x:v>0</x:v>
      </x:c>
      <x:c r="U27" s="107" t="str"/>
    </x:row>
    <x:row r="28">
      <x:c r="A28" s="107" t="str">
        <x:v>C07</x:v>
      </x:c>
      <x:c r="B28" s="107" t="n">
        <x:v>24</x:v>
      </x:c>
      <x:c r="C28" s="107" t="str">
        <x:v>C</x:v>
      </x:c>
      <x:c r="D28" s="107" t="str">
        <x:v>Outer south-west parks</x:v>
      </x:c>
      <x:c r="E28" s="172" t="n">
        <x:v>44</x:v>
      </x:c>
      <x:c r="F28" s="172" t="n">
        <x:v>50</x:v>
      </x:c>
      <x:c r="G28" s="172" t="n">
        <x:v>72</x:v>
      </x:c>
      <x:c r="H28" s="172" t="n">
        <x:v>50</x:v>
      </x:c>
      <x:c r="I28" s="172" t="n">
        <x:v>44</x:v>
      </x:c>
      <x:c r="J28" s="172" t="n">
        <x:v>38</x:v>
      </x:c>
      <x:c r="K28" s="172" t="n">
        <x:v>48</x:v>
      </x:c>
      <x:c r="L28" s="172" t="n">
        <x:v>84</x:v>
      </x:c>
      <x:c r="M28" s="172" t="n">
        <x:v>40</x:v>
      </x:c>
      <x:c r="N28" s="173" t="n">
        <x:f>ROUND(E28*Assumptions!$F$13+F28*Assumptions!$F$14+G28*Assumptions!$F$15+H28*Assumptions!$F$16+I28*Assumptions!$F$17+J28*Assumptions!$F$18+K28*Assumptions!$F$19+L28*Assumptions!$F$20+M28*Assumptions!$F$21,1)</x:f>
        <x:v>51</x:v>
      </x:c>
      <x:c r="O28" s="174" t="str">
        <x:f>IF(N28&gt;=Assumptions!$F$8,"Trophy",IF(N28&gt;=Assumptions!$F$7,"Prime",IF(N28&gt;=Assumptions!$F$6,"Premium",IF(N28&gt;=Assumptions!$F$5,"Growth","Entry"))))</x:f>
        <x:v>Entry</x:v>
      </x:c>
      <x:c r="P28" s="175" t="n">
        <x:f>MAX(0.8,MIN(1.25,1+(E28-50)*0.002+(F28-50)*0.0025+(G28-50)*0.0015))</x:f>
        <x:v>1.021</x:v>
      </x:c>
      <x:c r="Q28" s="175" t="n">
        <x:f>MAX(0.85,MIN(1.20,1+(H28-50)*0.002+(I28-50)*0.002+(L28-50)*0.0008))</x:f>
        <x:v>1.0152</x:v>
      </x:c>
      <x:c r="R28" s="175" t="n">
        <x:f>MAX(0.90,MIN(1.15,1+(J28-50)*0.0015+(G28-50)*0.0008+(E28-50)*0.0005))</x:f>
        <x:v>0.9965999999999999</x:v>
      </x:c>
      <x:c r="S28" s="175" t="n">
        <x:f>MAX(0.90,MIN(1.15,1+(K28-50)*0.0015+(L28-50)*0.0007+(H28-50)*0.0005))</x:f>
        <x:v>1.0208</x:v>
      </x:c>
      <x:c r="T28" s="174" t="n">
        <x:f>IF(AND(Assumptions!$B$14=1,O28="Trophy"),12,0)</x:f>
        <x:v>0</x:v>
      </x:c>
      <x:c r="U28" s="107" t="str"/>
    </x:row>
    <x:row r="29">
      <x:c r="A29" s="107" t="str">
        <x:v>C08</x:v>
      </x:c>
      <x:c r="B29" s="107" t="n">
        <x:v>28</x:v>
      </x:c>
      <x:c r="C29" s="107" t="str">
        <x:v>C</x:v>
      </x:c>
      <x:c r="D29" s="107" t="str">
        <x:v>South-west park edge</x:v>
      </x:c>
      <x:c r="E29" s="172" t="n">
        <x:v>48</x:v>
      </x:c>
      <x:c r="F29" s="172" t="n">
        <x:v>54</x:v>
      </x:c>
      <x:c r="G29" s="172" t="n">
        <x:v>70</x:v>
      </x:c>
      <x:c r="H29" s="172" t="n">
        <x:v>52</x:v>
      </x:c>
      <x:c r="I29" s="172" t="n">
        <x:v>46</x:v>
      </x:c>
      <x:c r="J29" s="172" t="n">
        <x:v>40</x:v>
      </x:c>
      <x:c r="K29" s="172" t="n">
        <x:v>48</x:v>
      </x:c>
      <x:c r="L29" s="172" t="n">
        <x:v>82</x:v>
      </x:c>
      <x:c r="M29" s="172" t="n">
        <x:v>52</x:v>
      </x:c>
      <x:c r="N29" s="173" t="n">
        <x:f>ROUND(E29*Assumptions!$F$13+F29*Assumptions!$F$14+G29*Assumptions!$F$15+H29*Assumptions!$F$16+I29*Assumptions!$F$17+J29*Assumptions!$F$18+K29*Assumptions!$F$19+L29*Assumptions!$F$20+M29*Assumptions!$F$21,1)</x:f>
        <x:v>53.3</x:v>
      </x:c>
      <x:c r="O29" s="174" t="str">
        <x:f>IF(N29&gt;=Assumptions!$F$8,"Trophy",IF(N29&gt;=Assumptions!$F$7,"Prime",IF(N29&gt;=Assumptions!$F$6,"Premium",IF(N29&gt;=Assumptions!$F$5,"Growth","Entry"))))</x:f>
        <x:v>Entry</x:v>
      </x:c>
      <x:c r="P29" s="175" t="n">
        <x:f>MAX(0.8,MIN(1.25,1+(E29-50)*0.002+(F29-50)*0.0025+(G29-50)*0.0015))</x:f>
        <x:v>1.036</x:v>
      </x:c>
      <x:c r="Q29" s="175" t="n">
        <x:f>MAX(0.85,MIN(1.20,1+(H29-50)*0.002+(I29-50)*0.002+(L29-50)*0.0008))</x:f>
        <x:v>1.0216</x:v>
      </x:c>
      <x:c r="R29" s="175" t="n">
        <x:f>MAX(0.90,MIN(1.15,1+(J29-50)*0.0015+(G29-50)*0.0008+(E29-50)*0.0005))</x:f>
        <x:v>0.9999999999999999</x:v>
      </x:c>
      <x:c r="S29" s="175" t="n">
        <x:f>MAX(0.90,MIN(1.15,1+(K29-50)*0.0015+(L29-50)*0.0007+(H29-50)*0.0005))</x:f>
        <x:v>1.0204</x:v>
      </x:c>
      <x:c r="T29" s="174" t="n">
        <x:f>IF(AND(Assumptions!$B$14=1,O29="Trophy"),12,0)</x:f>
        <x:v>0</x:v>
      </x:c>
      <x:c r="U29" s="107" t="str"/>
    </x:row>
    <x:row r="30">
      <x:c r="A30" s="107" t="str">
        <x:v>C09</x:v>
      </x:c>
      <x:c r="B30" s="107" t="n">
        <x:v>32</x:v>
      </x:c>
      <x:c r="C30" s="107" t="str">
        <x:v>C</x:v>
      </x:c>
      <x:c r="D30" s="107" t="str">
        <x:v>South-central park edge</x:v>
      </x:c>
      <x:c r="E30" s="172" t="n">
        <x:v>58</x:v>
      </x:c>
      <x:c r="F30" s="172" t="n">
        <x:v>54</x:v>
      </x:c>
      <x:c r="G30" s="172" t="n">
        <x:v>64</x:v>
      </x:c>
      <x:c r="H30" s="172" t="n">
        <x:v>62</x:v>
      </x:c>
      <x:c r="I30" s="172" t="n">
        <x:v>58</x:v>
      </x:c>
      <x:c r="J30" s="172" t="n">
        <x:v>52</x:v>
      </x:c>
      <x:c r="K30" s="172" t="n">
        <x:v>52</x:v>
      </x:c>
      <x:c r="L30" s="172" t="n">
        <x:v>80</x:v>
      </x:c>
      <x:c r="M30" s="172" t="n">
        <x:v>64</x:v>
      </x:c>
      <x:c r="N30" s="173" t="n">
        <x:f>ROUND(E30*Assumptions!$F$13+F30*Assumptions!$F$14+G30*Assumptions!$F$15+H30*Assumptions!$F$16+I30*Assumptions!$F$17+J30*Assumptions!$F$18+K30*Assumptions!$F$19+L30*Assumptions!$F$20+M30*Assumptions!$F$21,1)</x:f>
        <x:v>59.6</x:v>
      </x:c>
      <x:c r="O30" s="174" t="str">
        <x:f>IF(N30&gt;=Assumptions!$F$8,"Trophy",IF(N30&gt;=Assumptions!$F$7,"Prime",IF(N30&gt;=Assumptions!$F$6,"Premium",IF(N30&gt;=Assumptions!$F$5,"Growth","Entry"))))</x:f>
        <x:v>Growth</x:v>
      </x:c>
      <x:c r="P30" s="175" t="n">
        <x:f>MAX(0.8,MIN(1.25,1+(E30-50)*0.002+(F30-50)*0.0025+(G30-50)*0.0015))</x:f>
        <x:v>1.047</x:v>
      </x:c>
      <x:c r="Q30" s="175" t="n">
        <x:f>MAX(0.85,MIN(1.20,1+(H30-50)*0.002+(I30-50)*0.002+(L30-50)*0.0008))</x:f>
        <x:v>1.064</x:v>
      </x:c>
      <x:c r="R30" s="175" t="n">
        <x:f>MAX(0.90,MIN(1.15,1+(J30-50)*0.0015+(G30-50)*0.0008+(E30-50)*0.0005))</x:f>
        <x:v>1.0182</x:v>
      </x:c>
      <x:c r="S30" s="175" t="n">
        <x:f>MAX(0.90,MIN(1.15,1+(K30-50)*0.0015+(L30-50)*0.0007+(H30-50)*0.0005))</x:f>
        <x:v>1.0299999999999998</x:v>
      </x:c>
      <x:c r="T30" s="174" t="n">
        <x:f>IF(AND(Assumptions!$B$14=1,O30="Trophy"),12,0)</x:f>
        <x:v>0</x:v>
      </x:c>
      <x:c r="U30" s="107" t="str"/>
    </x:row>
    <x:row r="31">
      <x:c r="A31" s="107" t="str">
        <x:v>C10</x:v>
      </x:c>
      <x:c r="B31" s="107" t="n">
        <x:v>34</x:v>
      </x:c>
      <x:c r="C31" s="107" t="str">
        <x:v>C</x:v>
      </x:c>
      <x:c r="D31" s="107" t="str">
        <x:v>South-east premium edge</x:v>
      </x:c>
      <x:c r="E31" s="172" t="n">
        <x:v>66</x:v>
      </x:c>
      <x:c r="F31" s="172" t="n">
        <x:v>56</x:v>
      </x:c>
      <x:c r="G31" s="172" t="n">
        <x:v>70</x:v>
      </x:c>
      <x:c r="H31" s="172" t="n">
        <x:v>70</x:v>
      </x:c>
      <x:c r="I31" s="172" t="n">
        <x:v>68</x:v>
      </x:c>
      <x:c r="J31" s="172" t="n">
        <x:v>54</x:v>
      </x:c>
      <x:c r="K31" s="172" t="n">
        <x:v>56</x:v>
      </x:c>
      <x:c r="L31" s="172" t="n">
        <x:v>76</x:v>
      </x:c>
      <x:c r="M31" s="172" t="n">
        <x:v>70</x:v>
      </x:c>
      <x:c r="N31" s="173" t="n">
        <x:f>ROUND(E31*Assumptions!$F$13+F31*Assumptions!$F$14+G31*Assumptions!$F$15+H31*Assumptions!$F$16+I31*Assumptions!$F$17+J31*Assumptions!$F$18+K31*Assumptions!$F$19+L31*Assumptions!$F$20+M31*Assumptions!$F$21,1)</x:f>
        <x:v>65.6</x:v>
      </x:c>
      <x:c r="O31" s="174" t="str">
        <x:f>IF(N31&gt;=Assumptions!$F$8,"Trophy",IF(N31&gt;=Assumptions!$F$7,"Prime",IF(N31&gt;=Assumptions!$F$6,"Premium",IF(N31&gt;=Assumptions!$F$5,"Growth","Entry"))))</x:f>
        <x:v>Premium</x:v>
      </x:c>
      <x:c r="P31" s="175" t="n">
        <x:f>MAX(0.8,MIN(1.25,1+(E31-50)*0.002+(F31-50)*0.0025+(G31-50)*0.0015))</x:f>
        <x:v>1.077</x:v>
      </x:c>
      <x:c r="Q31" s="175" t="n">
        <x:f>MAX(0.85,MIN(1.20,1+(H31-50)*0.002+(I31-50)*0.002+(L31-50)*0.0008))</x:f>
        <x:v>1.0968</x:v>
      </x:c>
      <x:c r="R31" s="175" t="n">
        <x:f>MAX(0.90,MIN(1.15,1+(J31-50)*0.0015+(G31-50)*0.0008+(E31-50)*0.0005))</x:f>
        <x:v>1.03</x:v>
      </x:c>
      <x:c r="S31" s="175" t="n">
        <x:f>MAX(0.90,MIN(1.15,1+(K31-50)*0.0015+(L31-50)*0.0007+(H31-50)*0.0005))</x:f>
        <x:v>1.0372</x:v>
      </x:c>
      <x:c r="T31" s="174" t="n">
        <x:f>IF(AND(Assumptions!$B$14=1,O31="Trophy"),12,0)</x:f>
        <x:v>0</x:v>
      </x:c>
      <x:c r="U31" s="107" t="str"/>
    </x:row>
    <x:row r="32">
      <x:c r="A32" s="107" t="str">
        <x:v>D01</x:v>
      </x:c>
      <x:c r="B32" s="107" t="n">
        <x:v>2</x:v>
      </x:c>
      <x:c r="C32" s="107" t="str">
        <x:v>D</x:v>
      </x:c>
      <x:c r="D32" s="107" t="str">
        <x:v>Park-edge / outer north-east</x:v>
      </x:c>
      <x:c r="E32" s="172" t="n">
        <x:v>48</x:v>
      </x:c>
      <x:c r="F32" s="172" t="n">
        <x:v>42</x:v>
      </x:c>
      <x:c r="G32" s="172" t="n">
        <x:v>52</x:v>
      </x:c>
      <x:c r="H32" s="172" t="n">
        <x:v>60</x:v>
      </x:c>
      <x:c r="I32" s="172" t="n">
        <x:v>50</x:v>
      </x:c>
      <x:c r="J32" s="172" t="n">
        <x:v>46</x:v>
      </x:c>
      <x:c r="K32" s="172" t="n">
        <x:v>50</x:v>
      </x:c>
      <x:c r="L32" s="172" t="n">
        <x:v>78</x:v>
      </x:c>
      <x:c r="M32" s="172" t="n">
        <x:v>40</x:v>
      </x:c>
      <x:c r="N32" s="173" t="n">
        <x:f>ROUND(E32*Assumptions!$F$13+F32*Assumptions!$F$14+G32*Assumptions!$F$15+H32*Assumptions!$F$16+I32*Assumptions!$F$17+J32*Assumptions!$F$18+K32*Assumptions!$F$19+L32*Assumptions!$F$20+M32*Assumptions!$F$21,1)</x:f>
        <x:v>50.8</x:v>
      </x:c>
      <x:c r="O32" s="174" t="str">
        <x:f>IF(N32&gt;=Assumptions!$F$8,"Trophy",IF(N32&gt;=Assumptions!$F$7,"Prime",IF(N32&gt;=Assumptions!$F$6,"Premium",IF(N32&gt;=Assumptions!$F$5,"Growth","Entry"))))</x:f>
        <x:v>Entry</x:v>
      </x:c>
      <x:c r="P32" s="175" t="n">
        <x:f>MAX(0.8,MIN(1.25,1+(E32-50)*0.002+(F32-50)*0.0025+(G32-50)*0.0015))</x:f>
        <x:v>0.979</x:v>
      </x:c>
      <x:c r="Q32" s="175" t="n">
        <x:f>MAX(0.85,MIN(1.20,1+(H32-50)*0.002+(I32-50)*0.002+(L32-50)*0.0008))</x:f>
        <x:v>1.0424</x:v>
      </x:c>
      <x:c r="R32" s="175" t="n">
        <x:f>MAX(0.90,MIN(1.15,1+(J32-50)*0.0015+(G32-50)*0.0008+(E32-50)*0.0005))</x:f>
        <x:v>0.9946</x:v>
      </x:c>
      <x:c r="S32" s="175" t="n">
        <x:f>MAX(0.90,MIN(1.15,1+(K32-50)*0.0015+(L32-50)*0.0007+(H32-50)*0.0005))</x:f>
        <x:v>1.0246</x:v>
      </x:c>
      <x:c r="T32" s="174" t="n">
        <x:f>IF(AND(Assumptions!$B$14=1,O32="Trophy"),12,0)</x:f>
        <x:v>0</x:v>
      </x:c>
      <x:c r="U32" s="107" t="str"/>
    </x:row>
    <x:row r="33">
      <x:c r="A33" s="107" t="str">
        <x:v>D02</x:v>
      </x:c>
      <x:c r="B33" s="107" t="n">
        <x:v>5</x:v>
      </x:c>
      <x:c r="C33" s="107" t="str">
        <x:v>D</x:v>
      </x:c>
      <x:c r="D33" s="107" t="str">
        <x:v>North-east mixed edge</x:v>
      </x:c>
      <x:c r="E33" s="172" t="n">
        <x:v>52</x:v>
      </x:c>
      <x:c r="F33" s="172" t="n">
        <x:v>44</x:v>
      </x:c>
      <x:c r="G33" s="172" t="n">
        <x:v>60</x:v>
      </x:c>
      <x:c r="H33" s="172" t="n">
        <x:v>64</x:v>
      </x:c>
      <x:c r="I33" s="172" t="n">
        <x:v>55</x:v>
      </x:c>
      <x:c r="J33" s="172" t="n">
        <x:v>48</x:v>
      </x:c>
      <x:c r="K33" s="172" t="n">
        <x:v>52</x:v>
      </x:c>
      <x:c r="L33" s="172" t="n">
        <x:v>75</x:v>
      </x:c>
      <x:c r="M33" s="172" t="n">
        <x:v>50</x:v>
      </x:c>
      <x:c r="N33" s="173" t="n">
        <x:f>ROUND(E33*Assumptions!$F$13+F33*Assumptions!$F$14+G33*Assumptions!$F$15+H33*Assumptions!$F$16+I33*Assumptions!$F$17+J33*Assumptions!$F$18+K33*Assumptions!$F$19+L33*Assumptions!$F$20+M33*Assumptions!$F$21,1)</x:f>
        <x:v>55</x:v>
      </x:c>
      <x:c r="O33" s="174" t="str">
        <x:f>IF(N33&gt;=Assumptions!$F$8,"Trophy",IF(N33&gt;=Assumptions!$F$7,"Prime",IF(N33&gt;=Assumptions!$F$6,"Premium",IF(N33&gt;=Assumptions!$F$5,"Growth","Entry"))))</x:f>
        <x:v>Growth</x:v>
      </x:c>
      <x:c r="P33" s="175" t="n">
        <x:f>MAX(0.8,MIN(1.25,1+(E33-50)*0.002+(F33-50)*0.0025+(G33-50)*0.0015))</x:f>
        <x:v>1.004</x:v>
      </x:c>
      <x:c r="Q33" s="175" t="n">
        <x:f>MAX(0.85,MIN(1.20,1+(H33-50)*0.002+(I33-50)*0.002+(L33-50)*0.0008))</x:f>
        <x:v>1.058</x:v>
      </x:c>
      <x:c r="R33" s="175" t="n">
        <x:f>MAX(0.90,MIN(1.15,1+(J33-50)*0.0015+(G33-50)*0.0008+(E33-50)*0.0005))</x:f>
        <x:v>1.0059999999999998</x:v>
      </x:c>
      <x:c r="S33" s="175" t="n">
        <x:f>MAX(0.90,MIN(1.15,1+(K33-50)*0.0015+(L33-50)*0.0007+(H33-50)*0.0005))</x:f>
        <x:v>1.0274999999999999</x:v>
      </x:c>
      <x:c r="T33" s="174" t="n">
        <x:f>IF(AND(Assumptions!$B$14=1,O33="Trophy"),12,0)</x:f>
        <x:v>0</x:v>
      </x:c>
      <x:c r="U33" s="107" t="str"/>
    </x:row>
    <x:row r="34">
      <x:c r="A34" s="107" t="str">
        <x:v>D03</x:v>
      </x:c>
      <x:c r="B34" s="107" t="n">
        <x:v>31</x:v>
      </x:c>
      <x:c r="C34" s="107" t="str">
        <x:v>D</x:v>
      </x:c>
      <x:c r="D34" s="107" t="str">
        <x:v>South-west outer</x:v>
      </x:c>
      <x:c r="E34" s="172" t="n">
        <x:v>46</x:v>
      </x:c>
      <x:c r="F34" s="172" t="n">
        <x:v>50</x:v>
      </x:c>
      <x:c r="G34" s="172" t="n">
        <x:v>66</x:v>
      </x:c>
      <x:c r="H34" s="172" t="n">
        <x:v>54</x:v>
      </x:c>
      <x:c r="I34" s="172" t="n">
        <x:v>44</x:v>
      </x:c>
      <x:c r="J34" s="172" t="n">
        <x:v>42</x:v>
      </x:c>
      <x:c r="K34" s="172" t="n">
        <x:v>50</x:v>
      </x:c>
      <x:c r="L34" s="172" t="n">
        <x:v>84</x:v>
      </x:c>
      <x:c r="M34" s="172" t="n">
        <x:v>48</x:v>
      </x:c>
      <x:c r="N34" s="173" t="n">
        <x:f>ROUND(E34*Assumptions!$F$13+F34*Assumptions!$F$14+G34*Assumptions!$F$15+H34*Assumptions!$F$16+I34*Assumptions!$F$17+J34*Assumptions!$F$18+K34*Assumptions!$F$19+L34*Assumptions!$F$20+M34*Assumptions!$F$21,1)</x:f>
        <x:v>51.9</x:v>
      </x:c>
      <x:c r="O34" s="174" t="str">
        <x:f>IF(N34&gt;=Assumptions!$F$8,"Trophy",IF(N34&gt;=Assumptions!$F$7,"Prime",IF(N34&gt;=Assumptions!$F$6,"Premium",IF(N34&gt;=Assumptions!$F$5,"Growth","Entry"))))</x:f>
        <x:v>Entry</x:v>
      </x:c>
      <x:c r="P34" s="175" t="n">
        <x:f>MAX(0.8,MIN(1.25,1+(E34-50)*0.002+(F34-50)*0.0025+(G34-50)*0.0015))</x:f>
        <x:v>1.016</x:v>
      </x:c>
      <x:c r="Q34" s="175" t="n">
        <x:f>MAX(0.85,MIN(1.20,1+(H34-50)*0.002+(I34-50)*0.002+(L34-50)*0.0008))</x:f>
        <x:v>1.0232</x:v>
      </x:c>
      <x:c r="R34" s="175" t="n">
        <x:f>MAX(0.90,MIN(1.15,1+(J34-50)*0.0015+(G34-50)*0.0008+(E34-50)*0.0005))</x:f>
        <x:v>0.9987999999999999</x:v>
      </x:c>
      <x:c r="S34" s="175" t="n">
        <x:f>MAX(0.90,MIN(1.15,1+(K34-50)*0.0015+(L34-50)*0.0007+(H34-50)*0.0005))</x:f>
        <x:v>1.0258</x:v>
      </x:c>
      <x:c r="T34" s="174" t="n">
        <x:f>IF(AND(Assumptions!$B$14=1,O34="Trophy"),12,0)</x:f>
        <x:v>0</x:v>
      </x:c>
      <x:c r="U34" s="107" t="str"/>
    </x:row>
    <x:row r="35">
      <x:c r="A35" s="107" t="str">
        <x:v>D04</x:v>
      </x:c>
      <x:c r="B35" s="107" t="n">
        <x:v>33</x:v>
      </x:c>
      <x:c r="C35" s="107" t="str">
        <x:v>D</x:v>
      </x:c>
      <x:c r="D35" s="107" t="str">
        <x:v>South-east outer</x:v>
      </x:c>
      <x:c r="E35" s="172" t="n">
        <x:v>50</x:v>
      </x:c>
      <x:c r="F35" s="172" t="n">
        <x:v>48</x:v>
      </x:c>
      <x:c r="G35" s="172" t="n">
        <x:v>68</x:v>
      </x:c>
      <x:c r="H35" s="172" t="n">
        <x:v>58</x:v>
      </x:c>
      <x:c r="I35" s="172" t="n">
        <x:v>50</x:v>
      </x:c>
      <x:c r="J35" s="172" t="n">
        <x:v>44</x:v>
      </x:c>
      <x:c r="K35" s="172" t="n">
        <x:v>50</x:v>
      </x:c>
      <x:c r="L35" s="172" t="n">
        <x:v>82</x:v>
      </x:c>
      <x:c r="M35" s="172" t="n">
        <x:v>46</x:v>
      </x:c>
      <x:c r="N35" s="173" t="n">
        <x:f>ROUND(E35*Assumptions!$F$13+F35*Assumptions!$F$14+G35*Assumptions!$F$15+H35*Assumptions!$F$16+I35*Assumptions!$F$17+J35*Assumptions!$F$18+K35*Assumptions!$F$19+L35*Assumptions!$F$20+M35*Assumptions!$F$21,1)</x:f>
        <x:v>54.4</x:v>
      </x:c>
      <x:c r="O35" s="174" t="str">
        <x:f>IF(N35&gt;=Assumptions!$F$8,"Trophy",IF(N35&gt;=Assumptions!$F$7,"Prime",IF(N35&gt;=Assumptions!$F$6,"Premium",IF(N35&gt;=Assumptions!$F$5,"Growth","Entry"))))</x:f>
        <x:v>Entry</x:v>
      </x:c>
      <x:c r="P35" s="175" t="n">
        <x:f>MAX(0.8,MIN(1.25,1+(E35-50)*0.002+(F35-50)*0.0025+(G35-50)*0.0015))</x:f>
        <x:v>1.022</x:v>
      </x:c>
      <x:c r="Q35" s="175" t="n">
        <x:f>MAX(0.85,MIN(1.20,1+(H35-50)*0.002+(I35-50)*0.002+(L35-50)*0.0008))</x:f>
        <x:v>1.0416</x:v>
      </x:c>
      <x:c r="R35" s="175" t="n">
        <x:f>MAX(0.90,MIN(1.15,1+(J35-50)*0.0015+(G35-50)*0.0008+(E35-50)*0.0005))</x:f>
        <x:v>1.0054</x:v>
      </x:c>
      <x:c r="S35" s="175" t="n">
        <x:f>MAX(0.90,MIN(1.15,1+(K35-50)*0.0015+(L35-50)*0.0007+(H35-50)*0.0005))</x:f>
        <x:v>1.0264</x:v>
      </x:c>
      <x:c r="T35" s="174" t="n">
        <x:f>IF(AND(Assumptions!$B$14=1,O35="Trophy"),12,0)</x:f>
        <x:v>0</x:v>
      </x:c>
      <x:c r="U35" s="107" t="str"/>
    </x:row>
    <x:row r="36">
      <x:c r="A36" s="107" t="str">
        <x:v>D05</x:v>
      </x:c>
      <x:c r="B36" s="107" t="n">
        <x:v>35</x:v>
      </x:c>
      <x:c r="C36" s="107" t="str">
        <x:v>D</x:v>
      </x:c>
      <x:c r="D36" s="107" t="str">
        <x:v>Far south amenity edge</x:v>
      </x:c>
      <x:c r="E36" s="172" t="n">
        <x:v>42</x:v>
      </x:c>
      <x:c r="F36" s="172" t="n">
        <x:v>46</x:v>
      </x:c>
      <x:c r="G36" s="172" t="n">
        <x:v>64</x:v>
      </x:c>
      <x:c r="H36" s="172" t="n">
        <x:v>56</x:v>
      </x:c>
      <x:c r="I36" s="172" t="n">
        <x:v>42</x:v>
      </x:c>
      <x:c r="J36" s="172" t="n">
        <x:v>40</x:v>
      </x:c>
      <x:c r="K36" s="172" t="n">
        <x:v>48</x:v>
      </x:c>
      <x:c r="L36" s="172" t="n">
        <x:v>88</x:v>
      </x:c>
      <x:c r="M36" s="172" t="n">
        <x:v>38</x:v>
      </x:c>
      <x:c r="N36" s="173" t="n">
        <x:f>ROUND(E36*Assumptions!$F$13+F36*Assumptions!$F$14+G36*Assumptions!$F$15+H36*Assumptions!$F$16+I36*Assumptions!$F$17+J36*Assumptions!$F$18+K36*Assumptions!$F$19+L36*Assumptions!$F$20+M36*Assumptions!$F$21,1)</x:f>
        <x:v>49.6</x:v>
      </x:c>
      <x:c r="O36" s="174" t="str">
        <x:f>IF(N36&gt;=Assumptions!$F$8,"Trophy",IF(N36&gt;=Assumptions!$F$7,"Prime",IF(N36&gt;=Assumptions!$F$6,"Premium",IF(N36&gt;=Assumptions!$F$5,"Growth","Entry"))))</x:f>
        <x:v>Entry</x:v>
      </x:c>
      <x:c r="P36" s="175" t="n">
        <x:f>MAX(0.8,MIN(1.25,1+(E36-50)*0.002+(F36-50)*0.0025+(G36-50)*0.0015))</x:f>
        <x:v>0.995</x:v>
      </x:c>
      <x:c r="Q36" s="175" t="n">
        <x:f>MAX(0.85,MIN(1.20,1+(H36-50)*0.002+(I36-50)*0.002+(L36-50)*0.0008))</x:f>
        <x:v>1.0264</x:v>
      </x:c>
      <x:c r="R36" s="175" t="n">
        <x:f>MAX(0.90,MIN(1.15,1+(J36-50)*0.0015+(G36-50)*0.0008+(E36-50)*0.0005))</x:f>
        <x:v>0.9922</x:v>
      </x:c>
      <x:c r="S36" s="175" t="n">
        <x:f>MAX(0.90,MIN(1.15,1+(K36-50)*0.0015+(L36-50)*0.0007+(H36-50)*0.0005))</x:f>
        <x:v>1.0266</x:v>
      </x:c>
      <x:c r="T36" s="174" t="n">
        <x:f>IF(AND(Assumptions!$B$14=1,O36="Trophy"),12,0)</x:f>
        <x:v>0</x:v>
      </x:c>
      <x:c r="U36" s="107" t="str"/>
    </x:row>
    <x:row r="37">
      <x:c r="A37" s="105"/>
      <x:c r="B37" s="105"/>
      <x:c r="C37" s="105"/>
      <x:c r="D37" s="105"/>
      <x:c r="E37" s="105"/>
      <x:c r="F37" s="105"/>
      <x:c r="G37" s="105"/>
      <x:c r="H37" s="105"/>
      <x:c r="I37" s="105"/>
      <x:c r="J37" s="105"/>
      <x:c r="K37" s="105"/>
      <x:c r="L37" s="105"/>
      <x:c r="M37" s="105"/>
      <x:c r="N37" s="105"/>
      <x:c r="O37" s="105"/>
      <x:c r="P37" s="105"/>
      <x:c r="Q37" s="105"/>
      <x:c r="R37" s="105"/>
      <x:c r="S37" s="105"/>
      <x:c r="T37" s="105"/>
      <x:c r="U37" s="105"/>
    </x:row>
    <x:row r="38">
      <x:c r="A38" s="105"/>
      <x:c r="B38" s="105"/>
      <x:c r="C38" s="105"/>
      <x:c r="D38" s="105"/>
      <x:c r="E38" s="105"/>
      <x:c r="F38" s="105"/>
      <x:c r="G38" s="105"/>
      <x:c r="H38" s="105"/>
      <x:c r="I38" s="105"/>
      <x:c r="J38" s="105"/>
      <x:c r="K38" s="105"/>
      <x:c r="L38" s="105"/>
      <x:c r="M38" s="105"/>
      <x:c r="N38" s="105"/>
      <x:c r="O38" s="105"/>
      <x:c r="P38" s="105"/>
      <x:c r="Q38" s="105"/>
      <x:c r="R38" s="105"/>
      <x:c r="S38" s="105"/>
      <x:c r="T38" s="105"/>
      <x:c r="U38" s="105"/>
    </x:row>
    <x:row r="39">
      <x:c r="A39" s="105"/>
      <x:c r="B39" s="105"/>
      <x:c r="C39" s="105"/>
      <x:c r="D39" s="105"/>
      <x:c r="E39" s="105"/>
      <x:c r="F39" s="105"/>
      <x:c r="G39" s="105"/>
      <x:c r="H39" s="105"/>
      <x:c r="I39" s="105"/>
      <x:c r="J39" s="105"/>
      <x:c r="K39" s="105"/>
      <x:c r="L39" s="105"/>
      <x:c r="M39" s="105"/>
      <x:c r="N39" s="105"/>
      <x:c r="O39" s="105"/>
      <x:c r="P39" s="105"/>
      <x:c r="Q39" s="105"/>
      <x:c r="R39" s="105"/>
      <x:c r="S39" s="105"/>
      <x:c r="T39" s="105"/>
      <x:c r="U39" s="105"/>
    </x:row>
    <x:row r="40">
      <x:c r="A40" s="105"/>
      <x:c r="B40" s="105"/>
      <x:c r="C40" s="105"/>
      <x:c r="D40" s="105"/>
      <x:c r="E40" s="105"/>
      <x:c r="F40" s="105"/>
      <x:c r="G40" s="105"/>
      <x:c r="H40" s="105"/>
      <x:c r="I40" s="105"/>
      <x:c r="J40" s="105"/>
      <x:c r="K40" s="105"/>
      <x:c r="L40" s="105"/>
      <x:c r="M40" s="105"/>
      <x:c r="N40" s="105"/>
      <x:c r="O40" s="105"/>
      <x:c r="P40" s="105"/>
      <x:c r="Q40" s="105"/>
      <x:c r="R40" s="105"/>
      <x:c r="S40" s="105"/>
      <x:c r="T40" s="105"/>
      <x:c r="U40" s="105"/>
    </x:row>
    <x:row r="41">
      <x:c r="A41" s="105"/>
      <x:c r="B41" s="105"/>
      <x:c r="C41" s="105"/>
      <x:c r="D41" s="105"/>
      <x:c r="E41" s="105"/>
      <x:c r="F41" s="105"/>
      <x:c r="G41" s="105"/>
      <x:c r="H41" s="105"/>
      <x:c r="I41" s="105"/>
      <x:c r="J41" s="105"/>
      <x:c r="K41" s="105"/>
      <x:c r="L41" s="105"/>
      <x:c r="M41" s="105"/>
      <x:c r="N41" s="105"/>
      <x:c r="O41" s="105"/>
      <x:c r="P41" s="105"/>
      <x:c r="Q41" s="105"/>
      <x:c r="R41" s="105"/>
      <x:c r="S41" s="105"/>
      <x:c r="T41" s="105"/>
      <x:c r="U41" s="105"/>
    </x:row>
    <x:row r="42">
      <x:c r="A42" s="105"/>
      <x:c r="B42" s="105"/>
      <x:c r="C42" s="105"/>
      <x:c r="D42" s="105"/>
      <x:c r="E42" s="105"/>
      <x:c r="F42" s="105"/>
      <x:c r="G42" s="105"/>
      <x:c r="H42" s="105"/>
      <x:c r="I42" s="105"/>
      <x:c r="J42" s="105"/>
      <x:c r="K42" s="105"/>
      <x:c r="L42" s="105"/>
      <x:c r="M42" s="105"/>
      <x:c r="N42" s="105"/>
      <x:c r="O42" s="105"/>
      <x:c r="P42" s="105"/>
      <x:c r="Q42" s="105"/>
      <x:c r="R42" s="105"/>
      <x:c r="S42" s="105"/>
      <x:c r="T42" s="105"/>
      <x:c r="U42" s="105"/>
    </x:row>
    <x:row r="43">
      <x:c r="A43" s="105"/>
      <x:c r="B43" s="105"/>
      <x:c r="C43" s="105"/>
      <x:c r="D43" s="105"/>
      <x:c r="E43" s="105"/>
      <x:c r="F43" s="105"/>
      <x:c r="G43" s="105"/>
      <x:c r="H43" s="105"/>
      <x:c r="I43" s="105"/>
      <x:c r="J43" s="105"/>
      <x:c r="K43" s="105"/>
      <x:c r="L43" s="105"/>
      <x:c r="M43" s="105"/>
      <x:c r="N43" s="105"/>
      <x:c r="O43" s="105"/>
      <x:c r="P43" s="105"/>
      <x:c r="Q43" s="105"/>
      <x:c r="R43" s="105"/>
      <x:c r="S43" s="105"/>
      <x:c r="T43" s="105"/>
      <x:c r="U43" s="105"/>
    </x:row>
    <x:row r="44">
      <x:c r="A44" s="105"/>
      <x:c r="B44" s="105"/>
      <x:c r="C44" s="105"/>
      <x:c r="D44" s="105"/>
      <x:c r="E44" s="105"/>
      <x:c r="F44" s="105"/>
      <x:c r="G44" s="105"/>
      <x:c r="H44" s="105"/>
      <x:c r="I44" s="105"/>
      <x:c r="J44" s="105"/>
      <x:c r="K44" s="105"/>
      <x:c r="L44" s="105"/>
      <x:c r="M44" s="105"/>
      <x:c r="N44" s="105"/>
      <x:c r="O44" s="105"/>
      <x:c r="P44" s="105"/>
      <x:c r="Q44" s="105"/>
      <x:c r="R44" s="105"/>
      <x:c r="S44" s="105"/>
      <x:c r="T44" s="105"/>
      <x:c r="U44" s="105"/>
    </x:row>
    <x:row r="45">
      <x:c r="A45" s="105"/>
      <x:c r="B45" s="105"/>
      <x:c r="C45" s="105"/>
      <x:c r="D45" s="105"/>
      <x:c r="E45" s="105"/>
      <x:c r="F45" s="105"/>
      <x:c r="G45" s="105"/>
      <x:c r="H45" s="105"/>
      <x:c r="I45" s="105"/>
      <x:c r="J45" s="105"/>
      <x:c r="K45" s="105"/>
      <x:c r="L45" s="105"/>
      <x:c r="M45" s="105"/>
      <x:c r="N45" s="105"/>
      <x:c r="O45" s="105"/>
      <x:c r="P45" s="105"/>
      <x:c r="Q45" s="105"/>
      <x:c r="R45" s="105"/>
      <x:c r="S45" s="105"/>
      <x:c r="T45" s="105"/>
      <x:c r="U45" s="105"/>
    </x:row>
    <x:row r="46">
      <x:c r="A46" s="105"/>
      <x:c r="B46" s="105"/>
      <x:c r="C46" s="105"/>
      <x:c r="D46" s="105"/>
      <x:c r="E46" s="105"/>
      <x:c r="F46" s="105"/>
      <x:c r="G46" s="105"/>
      <x:c r="H46" s="105"/>
      <x:c r="I46" s="105"/>
      <x:c r="J46" s="105"/>
      <x:c r="K46" s="105"/>
      <x:c r="L46" s="105"/>
      <x:c r="M46" s="105"/>
      <x:c r="N46" s="105"/>
      <x:c r="O46" s="105"/>
      <x:c r="P46" s="105"/>
      <x:c r="Q46" s="105"/>
      <x:c r="R46" s="105"/>
      <x:c r="S46" s="105"/>
      <x:c r="T46" s="105"/>
      <x:c r="U46" s="105"/>
    </x:row>
    <x:row r="47">
      <x:c r="A47" s="105"/>
      <x:c r="B47" s="105"/>
      <x:c r="C47" s="105"/>
      <x:c r="D47" s="105"/>
      <x:c r="E47" s="105"/>
      <x:c r="F47" s="105"/>
      <x:c r="G47" s="105"/>
      <x:c r="H47" s="105"/>
      <x:c r="I47" s="105"/>
      <x:c r="J47" s="105"/>
      <x:c r="K47" s="105"/>
      <x:c r="L47" s="105"/>
      <x:c r="M47" s="105"/>
      <x:c r="N47" s="105"/>
      <x:c r="O47" s="105"/>
      <x:c r="P47" s="105"/>
      <x:c r="Q47" s="105"/>
      <x:c r="R47" s="105"/>
      <x:c r="S47" s="105"/>
      <x:c r="T47" s="105"/>
      <x:c r="U47" s="105"/>
    </x:row>
    <x:row r="48">
      <x:c r="A48" s="105"/>
      <x:c r="B48" s="105"/>
      <x:c r="C48" s="105"/>
      <x:c r="D48" s="105"/>
      <x:c r="E48" s="105"/>
      <x:c r="F48" s="105"/>
      <x:c r="G48" s="105"/>
      <x:c r="H48" s="105"/>
      <x:c r="I48" s="105"/>
      <x:c r="J48" s="105"/>
      <x:c r="K48" s="105"/>
      <x:c r="L48" s="105"/>
      <x:c r="M48" s="105"/>
      <x:c r="N48" s="105"/>
      <x:c r="O48" s="105"/>
      <x:c r="P48" s="105"/>
      <x:c r="Q48" s="105"/>
      <x:c r="R48" s="105"/>
      <x:c r="S48" s="105"/>
      <x:c r="T48" s="105"/>
      <x:c r="U48" s="105"/>
    </x:row>
    <x:row r="49">
      <x:c r="A49" s="105"/>
      <x:c r="B49" s="105"/>
      <x:c r="C49" s="105"/>
      <x:c r="D49" s="105"/>
      <x:c r="E49" s="105"/>
      <x:c r="F49" s="105"/>
      <x:c r="G49" s="105"/>
      <x:c r="H49" s="105"/>
      <x:c r="I49" s="105"/>
      <x:c r="J49" s="105"/>
      <x:c r="K49" s="105"/>
      <x:c r="L49" s="105"/>
      <x:c r="M49" s="105"/>
      <x:c r="N49" s="105"/>
      <x:c r="O49" s="105"/>
      <x:c r="P49" s="105"/>
      <x:c r="Q49" s="105"/>
      <x:c r="R49" s="105"/>
      <x:c r="S49" s="105"/>
      <x:c r="T49" s="105"/>
      <x:c r="U49" s="105"/>
    </x:row>
    <x:row r="50">
      <x:c r="A50" s="105"/>
      <x:c r="B50" s="105"/>
      <x:c r="C50" s="105"/>
      <x:c r="D50" s="105"/>
      <x:c r="E50" s="105"/>
      <x:c r="F50" s="105"/>
      <x:c r="G50" s="105"/>
      <x:c r="H50" s="105"/>
      <x:c r="I50" s="105"/>
      <x:c r="J50" s="105"/>
      <x:c r="K50" s="105"/>
      <x:c r="L50" s="105"/>
      <x:c r="M50" s="105"/>
      <x:c r="N50" s="105"/>
      <x:c r="O50" s="105"/>
      <x:c r="P50" s="105"/>
      <x:c r="Q50" s="105"/>
      <x:c r="R50" s="105"/>
      <x:c r="S50" s="105"/>
      <x:c r="T50" s="105"/>
      <x:c r="U50" s="105"/>
    </x:row>
    <x:row r="51">
      <x:c r="A51" s="105"/>
      <x:c r="B51" s="105"/>
      <x:c r="C51" s="105"/>
      <x:c r="D51" s="105"/>
      <x:c r="E51" s="105"/>
      <x:c r="F51" s="105"/>
      <x:c r="G51" s="105"/>
      <x:c r="H51" s="105"/>
      <x:c r="I51" s="105"/>
      <x:c r="J51" s="105"/>
      <x:c r="K51" s="105"/>
      <x:c r="L51" s="105"/>
      <x:c r="M51" s="105"/>
      <x:c r="N51" s="105"/>
      <x:c r="O51" s="105"/>
      <x:c r="P51" s="105"/>
      <x:c r="Q51" s="105"/>
      <x:c r="R51" s="105"/>
      <x:c r="S51" s="105"/>
      <x:c r="T51" s="105"/>
      <x:c r="U51" s="105"/>
    </x:row>
    <x:row r="52">
      <x:c r="A52" s="105"/>
      <x:c r="B52" s="105"/>
      <x:c r="C52" s="105"/>
      <x:c r="D52" s="105"/>
      <x:c r="E52" s="105"/>
      <x:c r="F52" s="105"/>
      <x:c r="G52" s="105"/>
      <x:c r="H52" s="105"/>
      <x:c r="I52" s="105"/>
      <x:c r="J52" s="105"/>
      <x:c r="K52" s="105"/>
      <x:c r="L52" s="105"/>
      <x:c r="M52" s="105"/>
      <x:c r="N52" s="105"/>
      <x:c r="O52" s="105"/>
      <x:c r="P52" s="105"/>
      <x:c r="Q52" s="105"/>
      <x:c r="R52" s="105"/>
      <x:c r="S52" s="105"/>
      <x:c r="T52" s="105"/>
      <x:c r="U52" s="105"/>
    </x:row>
    <x:row r="53">
      <x:c r="A53" s="105"/>
      <x:c r="B53" s="105"/>
      <x:c r="C53" s="105"/>
      <x:c r="D53" s="105"/>
      <x:c r="E53" s="105"/>
      <x:c r="F53" s="105"/>
      <x:c r="G53" s="105"/>
      <x:c r="H53" s="105"/>
      <x:c r="I53" s="105"/>
      <x:c r="J53" s="105"/>
      <x:c r="K53" s="105"/>
      <x:c r="L53" s="105"/>
      <x:c r="M53" s="105"/>
      <x:c r="N53" s="105"/>
      <x:c r="O53" s="105"/>
      <x:c r="P53" s="105"/>
      <x:c r="Q53" s="105"/>
      <x:c r="R53" s="105"/>
      <x:c r="S53" s="105"/>
      <x:c r="T53" s="105"/>
      <x:c r="U53" s="105"/>
    </x:row>
    <x:row r="54">
      <x:c r="A54" s="105"/>
      <x:c r="B54" s="105"/>
      <x:c r="C54" s="105"/>
      <x:c r="D54" s="105"/>
      <x:c r="E54" s="105"/>
      <x:c r="F54" s="105"/>
      <x:c r="G54" s="105"/>
      <x:c r="H54" s="105"/>
      <x:c r="I54" s="105"/>
      <x:c r="J54" s="105"/>
      <x:c r="K54" s="105"/>
      <x:c r="L54" s="105"/>
      <x:c r="M54" s="105"/>
      <x:c r="N54" s="105"/>
      <x:c r="O54" s="105"/>
      <x:c r="P54" s="105"/>
      <x:c r="Q54" s="105"/>
      <x:c r="R54" s="105"/>
      <x:c r="S54" s="105"/>
      <x:c r="T54" s="105"/>
      <x:c r="U54" s="105"/>
    </x:row>
    <x:row r="55">
      <x:c r="A55" s="105"/>
      <x:c r="B55" s="105"/>
      <x:c r="C55" s="105"/>
      <x:c r="D55" s="105"/>
      <x:c r="E55" s="105"/>
      <x:c r="F55" s="105"/>
      <x:c r="G55" s="105"/>
      <x:c r="H55" s="105"/>
      <x:c r="I55" s="105"/>
      <x:c r="J55" s="105"/>
      <x:c r="K55" s="105"/>
      <x:c r="L55" s="105"/>
      <x:c r="M55" s="105"/>
      <x:c r="N55" s="105"/>
      <x:c r="O55" s="105"/>
      <x:c r="P55" s="105"/>
      <x:c r="Q55" s="105"/>
      <x:c r="R55" s="105"/>
      <x:c r="S55" s="105"/>
      <x:c r="T55" s="105"/>
      <x:c r="U55" s="105"/>
    </x:row>
    <x:row r="56">
      <x:c r="A56" s="105"/>
      <x:c r="B56" s="105"/>
      <x:c r="C56" s="105"/>
      <x:c r="D56" s="105"/>
      <x:c r="E56" s="105"/>
      <x:c r="F56" s="105"/>
      <x:c r="G56" s="105"/>
      <x:c r="H56" s="105"/>
      <x:c r="I56" s="105"/>
      <x:c r="J56" s="105"/>
      <x:c r="K56" s="105"/>
      <x:c r="L56" s="105"/>
      <x:c r="M56" s="105"/>
      <x:c r="N56" s="105"/>
      <x:c r="O56" s="105"/>
      <x:c r="P56" s="105"/>
      <x:c r="Q56" s="105"/>
      <x:c r="R56" s="105"/>
      <x:c r="S56" s="105"/>
      <x:c r="T56" s="105"/>
      <x:c r="U56" s="105"/>
    </x:row>
    <x:row r="57">
      <x:c r="A57" s="105"/>
      <x:c r="B57" s="105"/>
      <x:c r="C57" s="105"/>
      <x:c r="D57" s="105"/>
      <x:c r="E57" s="105"/>
      <x:c r="F57" s="105"/>
      <x:c r="G57" s="105"/>
      <x:c r="H57" s="105"/>
      <x:c r="I57" s="105"/>
      <x:c r="J57" s="105"/>
      <x:c r="K57" s="105"/>
      <x:c r="L57" s="105"/>
      <x:c r="M57" s="105"/>
      <x:c r="N57" s="105"/>
      <x:c r="O57" s="105"/>
      <x:c r="P57" s="105"/>
      <x:c r="Q57" s="105"/>
      <x:c r="R57" s="105"/>
      <x:c r="S57" s="105"/>
      <x:c r="T57" s="105"/>
      <x:c r="U57" s="105"/>
    </x:row>
    <x:row r="58">
      <x:c r="A58" s="105"/>
      <x:c r="B58" s="105"/>
      <x:c r="C58" s="105"/>
      <x:c r="D58" s="105"/>
      <x:c r="E58" s="105"/>
      <x:c r="F58" s="105"/>
      <x:c r="G58" s="105"/>
      <x:c r="H58" s="105"/>
      <x:c r="I58" s="105"/>
      <x:c r="J58" s="105"/>
      <x:c r="K58" s="105"/>
      <x:c r="L58" s="105"/>
      <x:c r="M58" s="105"/>
      <x:c r="N58" s="105"/>
      <x:c r="O58" s="105"/>
      <x:c r="P58" s="105"/>
      <x:c r="Q58" s="105"/>
      <x:c r="R58" s="105"/>
      <x:c r="S58" s="105"/>
      <x:c r="T58" s="105"/>
      <x:c r="U58" s="105"/>
    </x:row>
    <x:row r="59">
      <x:c r="A59" s="105"/>
      <x:c r="B59" s="105"/>
      <x:c r="C59" s="105"/>
      <x:c r="D59" s="105"/>
      <x:c r="E59" s="105"/>
      <x:c r="F59" s="105"/>
      <x:c r="G59" s="105"/>
      <x:c r="H59" s="105"/>
      <x:c r="I59" s="105"/>
      <x:c r="J59" s="105"/>
      <x:c r="K59" s="105"/>
      <x:c r="L59" s="105"/>
      <x:c r="M59" s="105"/>
      <x:c r="N59" s="105"/>
      <x:c r="O59" s="105"/>
      <x:c r="P59" s="105"/>
      <x:c r="Q59" s="105"/>
      <x:c r="R59" s="105"/>
      <x:c r="S59" s="105"/>
      <x:c r="T59" s="105"/>
      <x:c r="U59" s="105"/>
    </x:row>
    <x:row r="60">
      <x:c r="A60" s="105"/>
      <x:c r="B60" s="105"/>
      <x:c r="C60" s="105"/>
      <x:c r="D60" s="105"/>
      <x:c r="E60" s="105"/>
      <x:c r="F60" s="105"/>
      <x:c r="G60" s="105"/>
      <x:c r="H60" s="105"/>
      <x:c r="I60" s="105"/>
      <x:c r="J60" s="105"/>
      <x:c r="K60" s="105"/>
      <x:c r="L60" s="105"/>
      <x:c r="M60" s="105"/>
      <x:c r="N60" s="105"/>
      <x:c r="O60" s="105"/>
      <x:c r="P60" s="105"/>
      <x:c r="Q60" s="105"/>
      <x:c r="R60" s="105"/>
      <x:c r="S60" s="105"/>
      <x:c r="T60" s="105"/>
      <x:c r="U60" s="105"/>
    </x:row>
    <x:row r="61">
      <x:c r="A61" s="105"/>
      <x:c r="B61" s="105"/>
      <x:c r="C61" s="105"/>
      <x:c r="D61" s="105"/>
      <x:c r="E61" s="105"/>
      <x:c r="F61" s="105"/>
      <x:c r="G61" s="105"/>
      <x:c r="H61" s="105"/>
      <x:c r="I61" s="105"/>
      <x:c r="J61" s="105"/>
      <x:c r="K61" s="105"/>
      <x:c r="L61" s="105"/>
      <x:c r="M61" s="105"/>
      <x:c r="N61" s="105"/>
      <x:c r="O61" s="105"/>
      <x:c r="P61" s="105"/>
      <x:c r="Q61" s="105"/>
      <x:c r="R61" s="105"/>
      <x:c r="S61" s="105"/>
      <x:c r="T61" s="105"/>
      <x:c r="U61" s="105"/>
    </x:row>
    <x:row r="62">
      <x:c r="A62" s="105"/>
      <x:c r="B62" s="105"/>
      <x:c r="C62" s="105"/>
      <x:c r="D62" s="105"/>
      <x:c r="E62" s="105"/>
      <x:c r="F62" s="105"/>
      <x:c r="G62" s="105"/>
      <x:c r="H62" s="105"/>
      <x:c r="I62" s="105"/>
      <x:c r="J62" s="105"/>
      <x:c r="K62" s="105"/>
      <x:c r="L62" s="105"/>
      <x:c r="M62" s="105"/>
      <x:c r="N62" s="105"/>
      <x:c r="O62" s="105"/>
      <x:c r="P62" s="105"/>
      <x:c r="Q62" s="105"/>
      <x:c r="R62" s="105"/>
      <x:c r="S62" s="105"/>
      <x:c r="T62" s="105"/>
      <x:c r="U62" s="105"/>
    </x:row>
    <x:row r="63">
      <x:c r="A63" s="105"/>
      <x:c r="B63" s="105"/>
      <x:c r="C63" s="105"/>
      <x:c r="D63" s="105"/>
      <x:c r="E63" s="105"/>
      <x:c r="F63" s="105"/>
      <x:c r="G63" s="105"/>
      <x:c r="H63" s="105"/>
      <x:c r="I63" s="105"/>
      <x:c r="J63" s="105"/>
      <x:c r="K63" s="105"/>
      <x:c r="L63" s="105"/>
      <x:c r="M63" s="105"/>
      <x:c r="N63" s="105"/>
      <x:c r="O63" s="105"/>
      <x:c r="P63" s="105"/>
      <x:c r="Q63" s="105"/>
      <x:c r="R63" s="105"/>
      <x:c r="S63" s="105"/>
      <x:c r="T63" s="105"/>
      <x:c r="U63" s="105"/>
    </x:row>
    <x:row r="64">
      <x:c r="A64" s="105"/>
      <x:c r="B64" s="105"/>
      <x:c r="C64" s="105"/>
      <x:c r="D64" s="105"/>
      <x:c r="E64" s="105"/>
      <x:c r="F64" s="105"/>
      <x:c r="G64" s="105"/>
      <x:c r="H64" s="105"/>
      <x:c r="I64" s="105"/>
      <x:c r="J64" s="105"/>
      <x:c r="K64" s="105"/>
      <x:c r="L64" s="105"/>
      <x:c r="M64" s="105"/>
      <x:c r="N64" s="105"/>
      <x:c r="O64" s="105"/>
      <x:c r="P64" s="105"/>
      <x:c r="Q64" s="105"/>
      <x:c r="R64" s="105"/>
      <x:c r="S64" s="105"/>
      <x:c r="T64" s="105"/>
      <x:c r="U64" s="105"/>
    </x:row>
    <x:row r="65">
      <x:c r="A65" s="105"/>
      <x:c r="B65" s="105"/>
      <x:c r="C65" s="105"/>
      <x:c r="D65" s="105"/>
      <x:c r="E65" s="105"/>
      <x:c r="F65" s="105"/>
      <x:c r="G65" s="105"/>
      <x:c r="H65" s="105"/>
      <x:c r="I65" s="105"/>
      <x:c r="J65" s="105"/>
      <x:c r="K65" s="105"/>
      <x:c r="L65" s="105"/>
      <x:c r="M65" s="105"/>
      <x:c r="N65" s="105"/>
      <x:c r="O65" s="105"/>
      <x:c r="P65" s="105"/>
      <x:c r="Q65" s="105"/>
      <x:c r="R65" s="105"/>
      <x:c r="S65" s="105"/>
      <x:c r="T65" s="105"/>
      <x:c r="U65" s="105"/>
    </x:row>
    <x:row r="66">
      <x:c r="A66" s="105"/>
      <x:c r="B66" s="105"/>
      <x:c r="C66" s="105"/>
      <x:c r="D66" s="105"/>
      <x:c r="E66" s="105"/>
      <x:c r="F66" s="105"/>
      <x:c r="G66" s="105"/>
      <x:c r="H66" s="105"/>
      <x:c r="I66" s="105"/>
      <x:c r="J66" s="105"/>
      <x:c r="K66" s="105"/>
      <x:c r="L66" s="105"/>
      <x:c r="M66" s="105"/>
      <x:c r="N66" s="105"/>
      <x:c r="O66" s="105"/>
      <x:c r="P66" s="105"/>
      <x:c r="Q66" s="105"/>
      <x:c r="R66" s="105"/>
      <x:c r="S66" s="105"/>
      <x:c r="T66" s="105"/>
      <x:c r="U66" s="105"/>
    </x:row>
    <x:row r="67">
      <x:c r="A67" s="105"/>
      <x:c r="B67" s="105"/>
      <x:c r="C67" s="105"/>
      <x:c r="D67" s="105"/>
      <x:c r="E67" s="105"/>
      <x:c r="F67" s="105"/>
      <x:c r="G67" s="105"/>
      <x:c r="H67" s="105"/>
      <x:c r="I67" s="105"/>
      <x:c r="J67" s="105"/>
      <x:c r="K67" s="105"/>
      <x:c r="L67" s="105"/>
      <x:c r="M67" s="105"/>
      <x:c r="N67" s="105"/>
      <x:c r="O67" s="105"/>
      <x:c r="P67" s="105"/>
      <x:c r="Q67" s="105"/>
      <x:c r="R67" s="105"/>
      <x:c r="S67" s="105"/>
      <x:c r="T67" s="105"/>
      <x:c r="U67" s="105"/>
    </x:row>
    <x:row r="68">
      <x:c r="A68" s="105"/>
      <x:c r="B68" s="105"/>
      <x:c r="C68" s="105"/>
      <x:c r="D68" s="105"/>
      <x:c r="E68" s="105"/>
      <x:c r="F68" s="105"/>
      <x:c r="G68" s="105"/>
      <x:c r="H68" s="105"/>
      <x:c r="I68" s="105"/>
      <x:c r="J68" s="105"/>
      <x:c r="K68" s="105"/>
      <x:c r="L68" s="105"/>
      <x:c r="M68" s="105"/>
      <x:c r="N68" s="105"/>
      <x:c r="O68" s="105"/>
      <x:c r="P68" s="105"/>
      <x:c r="Q68" s="105"/>
      <x:c r="R68" s="105"/>
      <x:c r="S68" s="105"/>
      <x:c r="T68" s="105"/>
      <x:c r="U68" s="105"/>
    </x:row>
    <x:row r="69">
      <x:c r="A69" s="105"/>
      <x:c r="B69" s="105"/>
      <x:c r="C69" s="105"/>
      <x:c r="D69" s="105"/>
      <x:c r="E69" s="105"/>
      <x:c r="F69" s="105"/>
      <x:c r="G69" s="105"/>
      <x:c r="H69" s="105"/>
      <x:c r="I69" s="105"/>
      <x:c r="J69" s="105"/>
      <x:c r="K69" s="105"/>
      <x:c r="L69" s="105"/>
      <x:c r="M69" s="105"/>
      <x:c r="N69" s="105"/>
      <x:c r="O69" s="105"/>
      <x:c r="P69" s="105"/>
      <x:c r="Q69" s="105"/>
      <x:c r="R69" s="105"/>
      <x:c r="S69" s="105"/>
      <x:c r="T69" s="105"/>
      <x:c r="U69" s="105"/>
    </x:row>
    <x:row r="70">
      <x:c r="A70" s="105"/>
      <x:c r="B70" s="105"/>
      <x:c r="C70" s="105"/>
      <x:c r="D70" s="105"/>
      <x:c r="E70" s="105"/>
      <x:c r="F70" s="105"/>
      <x:c r="G70" s="105"/>
      <x:c r="H70" s="105"/>
      <x:c r="I70" s="105"/>
      <x:c r="J70" s="105"/>
      <x:c r="K70" s="105"/>
      <x:c r="L70" s="105"/>
      <x:c r="M70" s="105"/>
      <x:c r="N70" s="105"/>
      <x:c r="O70" s="105"/>
      <x:c r="P70" s="105"/>
      <x:c r="Q70" s="105"/>
      <x:c r="R70" s="105"/>
      <x:c r="S70" s="105"/>
      <x:c r="T70" s="105"/>
      <x:c r="U70" s="105"/>
    </x:row>
    <x:row r="71">
      <x:c r="A71" s="105"/>
      <x:c r="B71" s="105"/>
      <x:c r="C71" s="105"/>
      <x:c r="D71" s="105"/>
      <x:c r="E71" s="105"/>
      <x:c r="F71" s="105"/>
      <x:c r="G71" s="105"/>
      <x:c r="H71" s="105"/>
      <x:c r="I71" s="105"/>
      <x:c r="J71" s="105"/>
      <x:c r="K71" s="105"/>
      <x:c r="L71" s="105"/>
      <x:c r="M71" s="105"/>
      <x:c r="N71" s="105"/>
      <x:c r="O71" s="105"/>
      <x:c r="P71" s="105"/>
      <x:c r="Q71" s="105"/>
      <x:c r="R71" s="105"/>
      <x:c r="S71" s="105"/>
      <x:c r="T71" s="105"/>
      <x:c r="U71" s="105"/>
    </x:row>
    <x:row r="72">
      <x:c r="A72" s="105"/>
      <x:c r="B72" s="105"/>
      <x:c r="C72" s="105"/>
      <x:c r="D72" s="105"/>
      <x:c r="E72" s="105"/>
      <x:c r="F72" s="105"/>
      <x:c r="G72" s="105"/>
      <x:c r="H72" s="105"/>
      <x:c r="I72" s="105"/>
      <x:c r="J72" s="105"/>
      <x:c r="K72" s="105"/>
      <x:c r="L72" s="105"/>
      <x:c r="M72" s="105"/>
      <x:c r="N72" s="105"/>
      <x:c r="O72" s="105"/>
      <x:c r="P72" s="105"/>
      <x:c r="Q72" s="105"/>
      <x:c r="R72" s="105"/>
      <x:c r="S72" s="105"/>
      <x:c r="T72" s="105"/>
      <x:c r="U72" s="105"/>
    </x:row>
    <x:row r="73">
      <x:c r="A73" s="105"/>
      <x:c r="B73" s="105"/>
      <x:c r="C73" s="105"/>
      <x:c r="D73" s="105"/>
      <x:c r="E73" s="105"/>
      <x:c r="F73" s="105"/>
      <x:c r="G73" s="105"/>
      <x:c r="H73" s="105"/>
      <x:c r="I73" s="105"/>
      <x:c r="J73" s="105"/>
      <x:c r="K73" s="105"/>
      <x:c r="L73" s="105"/>
      <x:c r="M73" s="105"/>
      <x:c r="N73" s="105"/>
      <x:c r="O73" s="105"/>
      <x:c r="P73" s="105"/>
      <x:c r="Q73" s="105"/>
      <x:c r="R73" s="105"/>
      <x:c r="S73" s="105"/>
      <x:c r="T73" s="105"/>
      <x:c r="U73" s="105"/>
    </x:row>
    <x:row r="74">
      <x:c r="A74" s="105"/>
      <x:c r="B74" s="105"/>
      <x:c r="C74" s="105"/>
      <x:c r="D74" s="105"/>
      <x:c r="E74" s="105"/>
      <x:c r="F74" s="105"/>
      <x:c r="G74" s="105"/>
      <x:c r="H74" s="105"/>
      <x:c r="I74" s="105"/>
      <x:c r="J74" s="105"/>
      <x:c r="K74" s="105"/>
      <x:c r="L74" s="105"/>
      <x:c r="M74" s="105"/>
      <x:c r="N74" s="105"/>
      <x:c r="O74" s="105"/>
      <x:c r="P74" s="105"/>
      <x:c r="Q74" s="105"/>
      <x:c r="R74" s="105"/>
      <x:c r="S74" s="105"/>
      <x:c r="T74" s="105"/>
      <x:c r="U74" s="105"/>
    </x:row>
    <x:row r="75">
      <x:c r="A75" s="105"/>
      <x:c r="B75" s="105"/>
      <x:c r="C75" s="105"/>
      <x:c r="D75" s="105"/>
      <x:c r="E75" s="105"/>
      <x:c r="F75" s="105"/>
      <x:c r="G75" s="105"/>
      <x:c r="H75" s="105"/>
      <x:c r="I75" s="105"/>
      <x:c r="J75" s="105"/>
      <x:c r="K75" s="105"/>
      <x:c r="L75" s="105"/>
      <x:c r="M75" s="105"/>
      <x:c r="N75" s="105"/>
      <x:c r="O75" s="105"/>
      <x:c r="P75" s="105"/>
      <x:c r="Q75" s="105"/>
      <x:c r="R75" s="105"/>
      <x:c r="S75" s="105"/>
      <x:c r="T75" s="105"/>
      <x:c r="U75" s="105"/>
    </x:row>
    <x:row r="76">
      <x:c r="A76" s="105"/>
      <x:c r="B76" s="105"/>
      <x:c r="C76" s="105"/>
      <x:c r="D76" s="105"/>
      <x:c r="E76" s="105"/>
      <x:c r="F76" s="105"/>
      <x:c r="G76" s="105"/>
      <x:c r="H76" s="105"/>
      <x:c r="I76" s="105"/>
      <x:c r="J76" s="105"/>
      <x:c r="K76" s="105"/>
      <x:c r="L76" s="105"/>
      <x:c r="M76" s="105"/>
      <x:c r="N76" s="105"/>
      <x:c r="O76" s="105"/>
      <x:c r="P76" s="105"/>
      <x:c r="Q76" s="105"/>
      <x:c r="R76" s="105"/>
      <x:c r="S76" s="105"/>
      <x:c r="T76" s="105"/>
      <x:c r="U76" s="105"/>
    </x:row>
    <x:row r="77">
      <x:c r="A77" s="105"/>
      <x:c r="B77" s="105"/>
      <x:c r="C77" s="105"/>
      <x:c r="D77" s="105"/>
      <x:c r="E77" s="105"/>
      <x:c r="F77" s="105"/>
      <x:c r="G77" s="105"/>
      <x:c r="H77" s="105"/>
      <x:c r="I77" s="105"/>
      <x:c r="J77" s="105"/>
      <x:c r="K77" s="105"/>
      <x:c r="L77" s="105"/>
      <x:c r="M77" s="105"/>
      <x:c r="N77" s="105"/>
      <x:c r="O77" s="105"/>
      <x:c r="P77" s="105"/>
      <x:c r="Q77" s="105"/>
      <x:c r="R77" s="105"/>
      <x:c r="S77" s="105"/>
      <x:c r="T77" s="105"/>
      <x:c r="U77" s="105"/>
    </x:row>
    <x:row r="78">
      <x:c r="A78" s="105"/>
      <x:c r="B78" s="105"/>
      <x:c r="C78" s="105"/>
      <x:c r="D78" s="105"/>
      <x:c r="E78" s="105"/>
      <x:c r="F78" s="105"/>
      <x:c r="G78" s="105"/>
      <x:c r="H78" s="105"/>
      <x:c r="I78" s="105"/>
      <x:c r="J78" s="105"/>
      <x:c r="K78" s="105"/>
      <x:c r="L78" s="105"/>
      <x:c r="M78" s="105"/>
      <x:c r="N78" s="105"/>
      <x:c r="O78" s="105"/>
      <x:c r="P78" s="105"/>
      <x:c r="Q78" s="105"/>
      <x:c r="R78" s="105"/>
      <x:c r="S78" s="105"/>
      <x:c r="T78" s="105"/>
      <x:c r="U78" s="105"/>
    </x:row>
    <x:row r="79">
      <x:c r="A79" s="105"/>
      <x:c r="B79" s="105"/>
      <x:c r="C79" s="105"/>
      <x:c r="D79" s="105"/>
      <x:c r="E79" s="105"/>
      <x:c r="F79" s="105"/>
      <x:c r="G79" s="105"/>
      <x:c r="H79" s="105"/>
      <x:c r="I79" s="105"/>
      <x:c r="J79" s="105"/>
      <x:c r="K79" s="105"/>
      <x:c r="L79" s="105"/>
      <x:c r="M79" s="105"/>
      <x:c r="N79" s="105"/>
      <x:c r="O79" s="105"/>
      <x:c r="P79" s="105"/>
      <x:c r="Q79" s="105"/>
      <x:c r="R79" s="105"/>
      <x:c r="S79" s="105"/>
      <x:c r="T79" s="105"/>
      <x:c r="U79" s="105"/>
    </x:row>
    <x:row r="80">
      <x:c r="A80" s="105"/>
      <x:c r="B80" s="105"/>
      <x:c r="C80" s="105"/>
      <x:c r="D80" s="105"/>
      <x:c r="E80" s="105"/>
      <x:c r="F80" s="105"/>
      <x:c r="G80" s="105"/>
      <x:c r="H80" s="105"/>
      <x:c r="I80" s="105"/>
      <x:c r="J80" s="105"/>
      <x:c r="K80" s="105"/>
      <x:c r="L80" s="105"/>
      <x:c r="M80" s="105"/>
      <x:c r="N80" s="105"/>
      <x:c r="O80" s="105"/>
      <x:c r="P80" s="105"/>
      <x:c r="Q80" s="105"/>
      <x:c r="R80" s="105"/>
      <x:c r="S80" s="105"/>
      <x:c r="T80" s="105"/>
      <x:c r="U80" s="105"/>
    </x:row>
  </x:sheetData>
  <x:conditionalFormatting sqref="E2:M36">
    <x:cfRule type="colorScale" priority="1">
      <x:colorScale>
        <x:cfvo type="min"/>
        <x:cfvo type="percentile" val="50"/>
        <x:cfvo type="max"/>
        <x:color rgb="FFFDEDEC"/>
        <x:color rgb="FFFFF4CC"/>
        <x:color rgb="FFD9F2E6"/>
      </x:colorScale>
    </x:cfRule>
  </x:conditionalFormatting>
  <x:conditionalFormatting sqref="N2:N36">
    <x:cfRule type="colorScale" priority="2">
      <x:colorScale>
        <x:cfvo type="min"/>
        <x:cfvo type="percentile" val="50"/>
        <x:cfvo type="max"/>
        <x:color rgb="FFFDEDEC"/>
        <x:color rgb="FFFFF4CC"/>
        <x:color rgb="FFD9F2E6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5" hidden="0" customWidth="1"/>
  </x:cols>
  <x:sheetData>
    <x:row r="1">
      <x:c r="A1" s="140" t="str">
        <x:v>Empire Level</x:v>
      </x:c>
      <x:c r="B1" s="140" t="str">
        <x:v>Rank</x:v>
      </x:c>
      <x:c r="C1" s="140" t="str">
        <x:v>Hex Capacity</x:v>
      </x:c>
      <x:c r="D1" s="140" t="str">
        <x:v>Eligible Building Types</x:v>
      </x:c>
      <x:c r="E1" s="140" t="str">
        <x:v>Avg Eligible Base Net / Day</x:v>
      </x:c>
      <x:c r="F1" s="140" t="str">
        <x:v>Expected Avg Upgrade Mult</x:v>
      </x:c>
      <x:c r="G1" s="140" t="str">
        <x:v>Occupancy</x:v>
      </x:c>
      <x:c r="H1" s="140" t="str">
        <x:v>Expected Net Cash / Day</x:v>
      </x:c>
      <x:c r="I1" s="140" t="str">
        <x:v>Net Cash / Active Hex</x:v>
      </x:c>
      <x:c r="J1" s="140" t="str">
        <x:v>Notes</x:v>
      </x:c>
      <x:c r="K1" s="105"/>
      <x:c r="L1" s="105"/>
      <x:c r="M1" s="105"/>
      <x:c r="N1" s="105"/>
      <x:c r="O1" s="105"/>
      <x:c r="P1" s="105"/>
      <x:c r="Q1" s="105"/>
      <x:c r="R1" s="105"/>
      <x:c r="S1" s="105"/>
      <x:c r="T1" s="105"/>
      <x:c r="U1" s="105"/>
    </x:row>
    <x:row r="2">
      <x:c r="A2" s="105" t="n">
        <x:v>1</x:v>
      </x:c>
      <x:c r="B2" s="105" t="str">
        <x:v>Humble</x:v>
      </x:c>
      <x:c r="C2" s="105" t="n">
        <x:v>1</x:v>
      </x:c>
      <x:c r="D2" s="105" t="n">
        <x:v>2</x:v>
      </x:c>
      <x:c r="E2" s="110" t="n">
        <x:f>SUMIFS('Building Balance'!$F$2:$F$51,'Building Balance'!$D$2:$D$51,"&lt;="&amp;A2)/COUNTIFS('Building Balance'!$D$2:$D$51,"&lt;="&amp;A2)</x:f>
        <x:v>28.5</x:v>
      </x:c>
      <x:c r="F2" s="182" t="n">
        <x:f>'Empire Progression'!G2</x:f>
        <x:v>1</x:v>
      </x:c>
      <x:c r="G2" s="182" t="n">
        <x:f>Assumptions!$B$11</x:f>
        <x:v>0.9</x:v>
      </x:c>
      <x:c r="H2" s="110" t="n">
        <x:f>C2*E2*F2*G2</x:f>
        <x:v>25.650000000000002</x:v>
      </x:c>
      <x:c r="I2" s="110" t="n">
        <x:f>IF(C2=0,0,H2/C2)</x:f>
        <x:v>25.650000000000002</x:v>
      </x:c>
      <x:c r="J2" s="105" t="str"/>
      <x:c r="K2" s="105"/>
      <x:c r="L2" s="105"/>
      <x:c r="M2" s="105"/>
      <x:c r="N2" s="105"/>
      <x:c r="O2" s="105"/>
      <x:c r="P2" s="105"/>
      <x:c r="Q2" s="105"/>
      <x:c r="R2" s="105"/>
      <x:c r="S2" s="105"/>
      <x:c r="T2" s="105"/>
      <x:c r="U2" s="105"/>
    </x:row>
    <x:row r="3">
      <x:c r="A3" s="105" t="n">
        <x:v>2</x:v>
      </x:c>
      <x:c r="B3" s="105" t="str">
        <x:v>Humble</x:v>
      </x:c>
      <x:c r="C3" s="105" t="n">
        <x:v>2</x:v>
      </x:c>
      <x:c r="D3" s="105" t="n">
        <x:v>5</x:v>
      </x:c>
      <x:c r="E3" s="110" t="n">
        <x:f>SUMIFS('Building Balance'!$F$2:$F$51,'Building Balance'!$D$2:$D$51,"&lt;="&amp;A3)/COUNTIFS('Building Balance'!$D$2:$D$51,"&lt;="&amp;A3)</x:f>
        <x:v>39</x:v>
      </x:c>
      <x:c r="F3" s="182" t="n">
        <x:f>'Empire Progression'!G3</x:f>
        <x:v>1</x:v>
      </x:c>
      <x:c r="G3" s="182" t="n">
        <x:f>Assumptions!$B$11</x:f>
        <x:v>0.9</x:v>
      </x:c>
      <x:c r="H3" s="110" t="n">
        <x:f>C3*E3*F3*G3</x:f>
        <x:v>70.2</x:v>
      </x:c>
      <x:c r="I3" s="110" t="n">
        <x:f>IF(C3=0,0,H3/C3)</x:f>
        <x:v>35.1</x:v>
      </x:c>
      <x:c r="J3" s="105" t="str"/>
      <x:c r="K3" s="105"/>
      <x:c r="L3" s="105"/>
      <x:c r="M3" s="105"/>
      <x:c r="N3" s="105"/>
      <x:c r="O3" s="105"/>
      <x:c r="P3" s="105"/>
      <x:c r="Q3" s="105"/>
      <x:c r="R3" s="105"/>
      <x:c r="S3" s="105"/>
      <x:c r="T3" s="105"/>
      <x:c r="U3" s="105"/>
    </x:row>
    <x:row r="4">
      <x:c r="A4" s="105" t="n">
        <x:v>3</x:v>
      </x:c>
      <x:c r="B4" s="105" t="str">
        <x:v>Humble</x:v>
      </x:c>
      <x:c r="C4" s="105" t="n">
        <x:v>4</x:v>
      </x:c>
      <x:c r="D4" s="105" t="n">
        <x:v>8</x:v>
      </x:c>
      <x:c r="E4" s="110" t="n">
        <x:f>SUMIFS('Building Balance'!$F$2:$F$51,'Building Balance'!$D$2:$D$51,"&lt;="&amp;A4)/COUNTIFS('Building Balance'!$D$2:$D$51,"&lt;="&amp;A4)</x:f>
        <x:v>49.5</x:v>
      </x:c>
      <x:c r="F4" s="182" t="n">
        <x:f>'Empire Progression'!G4</x:f>
        <x:v>1.35</x:v>
      </x:c>
      <x:c r="G4" s="182" t="n">
        <x:f>Assumptions!$B$11</x:f>
        <x:v>0.9</x:v>
      </x:c>
      <x:c r="H4" s="110" t="n">
        <x:f>C4*E4*F4*G4</x:f>
        <x:v>240.57000000000002</x:v>
      </x:c>
      <x:c r="I4" s="110" t="n">
        <x:f>IF(C4=0,0,H4/C4)</x:f>
        <x:v>60.142500000000005</x:v>
      </x:c>
      <x:c r="J4" s="105" t="str"/>
      <x:c r="K4" s="105"/>
      <x:c r="L4" s="105"/>
      <x:c r="M4" s="105"/>
      <x:c r="N4" s="105"/>
      <x:c r="O4" s="105"/>
      <x:c r="P4" s="105"/>
      <x:c r="Q4" s="105"/>
      <x:c r="R4" s="105"/>
      <x:c r="S4" s="105"/>
      <x:c r="T4" s="105"/>
      <x:c r="U4" s="105"/>
    </x:row>
    <x:row r="5">
      <x:c r="A5" s="105" t="n">
        <x:v>4</x:v>
      </x:c>
      <x:c r="B5" s="105" t="str">
        <x:v>Humble</x:v>
      </x:c>
      <x:c r="C5" s="105" t="n">
        <x:v>6</x:v>
      </x:c>
      <x:c r="D5" s="105" t="n">
        <x:v>10</x:v>
      </x:c>
      <x:c r="E5" s="110" t="n">
        <x:f>SUMIFS('Building Balance'!$F$2:$F$51,'Building Balance'!$D$2:$D$51,"&lt;="&amp;A5)/COUNTIFS('Building Balance'!$D$2:$D$51,"&lt;="&amp;A5)</x:f>
        <x:v>56.5</x:v>
      </x:c>
      <x:c r="F5" s="182" t="n">
        <x:f>'Empire Progression'!G5</x:f>
        <x:v>1.8</x:v>
      </x:c>
      <x:c r="G5" s="182" t="n">
        <x:f>Assumptions!$B$11</x:f>
        <x:v>0.9</x:v>
      </x:c>
      <x:c r="H5" s="110" t="n">
        <x:f>C5*E5*F5*G5</x:f>
        <x:v>549.1800000000001</x:v>
      </x:c>
      <x:c r="I5" s="110" t="n">
        <x:f>IF(C5=0,0,H5/C5)</x:f>
        <x:v>91.53000000000002</x:v>
      </x:c>
      <x:c r="J5" s="105" t="str">
        <x:v>Humble target: roughly 500–1,500 Cash/day.</x:v>
      </x:c>
      <x:c r="K5" s="105"/>
      <x:c r="L5" s="105"/>
      <x:c r="M5" s="105"/>
      <x:c r="N5" s="105"/>
      <x:c r="O5" s="105"/>
      <x:c r="P5" s="105"/>
      <x:c r="Q5" s="105"/>
      <x:c r="R5" s="105"/>
      <x:c r="S5" s="105"/>
      <x:c r="T5" s="105"/>
      <x:c r="U5" s="105"/>
    </x:row>
    <x:row r="6">
      <x:c r="A6" s="105" t="n">
        <x:v>5</x:v>
      </x:c>
      <x:c r="B6" s="105" t="str">
        <x:v>Starter</x:v>
      </x:c>
      <x:c r="C6" s="105" t="n">
        <x:v>8</x:v>
      </x:c>
      <x:c r="D6" s="105" t="n">
        <x:v>12</x:v>
      </x:c>
      <x:c r="E6" s="110" t="n">
        <x:f>SUMIFS('Building Balance'!$F$2:$F$51,'Building Balance'!$D$2:$D$51,"&lt;="&amp;A6)/COUNTIFS('Building Balance'!$D$2:$D$51,"&lt;="&amp;A6)</x:f>
        <x:v>67.08333333333333</x:v>
      </x:c>
      <x:c r="F6" s="182" t="n">
        <x:f>'Empire Progression'!G6</x:f>
        <x:v>1.35</x:v>
      </x:c>
      <x:c r="G6" s="182" t="n">
        <x:f>Assumptions!$B$11</x:f>
        <x:v>0.9</x:v>
      </x:c>
      <x:c r="H6" s="110" t="n">
        <x:f>C6*E6*F6*G6</x:f>
        <x:v>652.0500000000001</x:v>
      </x:c>
      <x:c r="I6" s="110" t="n">
        <x:f>IF(C6=0,0,H6/C6)</x:f>
        <x:v>81.50625000000001</x:v>
      </x:c>
      <x:c r="J6" s="105" t="str"/>
      <x:c r="K6" s="105"/>
      <x:c r="L6" s="105"/>
      <x:c r="M6" s="105"/>
      <x:c r="N6" s="105"/>
      <x:c r="O6" s="105"/>
      <x:c r="P6" s="105"/>
      <x:c r="Q6" s="105"/>
      <x:c r="R6" s="105"/>
      <x:c r="S6" s="105"/>
      <x:c r="T6" s="105"/>
      <x:c r="U6" s="105"/>
    </x:row>
    <x:row r="7">
      <x:c r="A7" s="105" t="n">
        <x:v>6</x:v>
      </x:c>
      <x:c r="B7" s="105" t="str">
        <x:v>Starter</x:v>
      </x:c>
      <x:c r="C7" s="105" t="n">
        <x:v>11</x:v>
      </x:c>
      <x:c r="D7" s="105" t="n">
        <x:v>15</x:v>
      </x:c>
      <x:c r="E7" s="110" t="n">
        <x:f>SUMIFS('Building Balance'!$F$2:$F$51,'Building Balance'!$D$2:$D$51,"&lt;="&amp;A7)/COUNTIFS('Building Balance'!$D$2:$D$51,"&lt;="&amp;A7)</x:f>
        <x:v>87.66666666666667</x:v>
      </x:c>
      <x:c r="F7" s="182" t="n">
        <x:f>'Empire Progression'!G7</x:f>
        <x:v>1.35</x:v>
      </x:c>
      <x:c r="G7" s="182" t="n">
        <x:f>Assumptions!$B$11</x:f>
        <x:v>0.9</x:v>
      </x:c>
      <x:c r="H7" s="110" t="n">
        <x:f>C7*E7*F7*G7</x:f>
        <x:v>1171.6650000000002</x:v>
      </x:c>
      <x:c r="I7" s="110" t="n">
        <x:f>IF(C7=0,0,H7/C7)</x:f>
        <x:v>106.51500000000001</x:v>
      </x:c>
      <x:c r="J7" s="105" t="str"/>
      <x:c r="K7" s="105"/>
      <x:c r="L7" s="105"/>
      <x:c r="M7" s="105"/>
      <x:c r="N7" s="105"/>
      <x:c r="O7" s="105"/>
      <x:c r="P7" s="105"/>
      <x:c r="Q7" s="105"/>
      <x:c r="R7" s="105"/>
      <x:c r="S7" s="105"/>
      <x:c r="T7" s="105"/>
      <x:c r="U7" s="105"/>
    </x:row>
    <x:row r="8">
      <x:c r="A8" s="105" t="n">
        <x:v>7</x:v>
      </x:c>
      <x:c r="B8" s="105" t="str">
        <x:v>Starter</x:v>
      </x:c>
      <x:c r="C8" s="105" t="n">
        <x:v>14</x:v>
      </x:c>
      <x:c r="D8" s="105" t="n">
        <x:v>18</x:v>
      </x:c>
      <x:c r="E8" s="110" t="n">
        <x:f>SUMIFS('Building Balance'!$F$2:$F$51,'Building Balance'!$D$2:$D$51,"&lt;="&amp;A8)/COUNTIFS('Building Balance'!$D$2:$D$51,"&lt;="&amp;A8)</x:f>
        <x:v>111.38888888888889</x:v>
      </x:c>
      <x:c r="F8" s="182" t="n">
        <x:f>'Empire Progression'!G8</x:f>
        <x:v>1.8</x:v>
      </x:c>
      <x:c r="G8" s="182" t="n">
        <x:f>Assumptions!$B$11</x:f>
        <x:v>0.9</x:v>
      </x:c>
      <x:c r="H8" s="110" t="n">
        <x:f>C8*E8*F8*G8</x:f>
        <x:v>2526.3</x:v>
      </x:c>
      <x:c r="I8" s="110" t="n">
        <x:f>IF(C8=0,0,H8/C8)</x:f>
        <x:v>180.45000000000002</x:v>
      </x:c>
      <x:c r="J8" s="105" t="str"/>
      <x:c r="K8" s="105"/>
      <x:c r="L8" s="105"/>
      <x:c r="M8" s="105"/>
      <x:c r="N8" s="105"/>
      <x:c r="O8" s="105"/>
      <x:c r="P8" s="105"/>
      <x:c r="Q8" s="105"/>
      <x:c r="R8" s="105"/>
      <x:c r="S8" s="105"/>
      <x:c r="T8" s="105"/>
      <x:c r="U8" s="105"/>
    </x:row>
    <x:row r="9">
      <x:c r="A9" s="105" t="n">
        <x:v>8</x:v>
      </x:c>
      <x:c r="B9" s="105" t="str">
        <x:v>Starter</x:v>
      </x:c>
      <x:c r="C9" s="105" t="n">
        <x:v>18</x:v>
      </x:c>
      <x:c r="D9" s="105" t="n">
        <x:v>20</x:v>
      </x:c>
      <x:c r="E9" s="110" t="n">
        <x:f>SUMIFS('Building Balance'!$F$2:$F$51,'Building Balance'!$D$2:$D$51,"&lt;="&amp;A9)/COUNTIFS('Building Balance'!$D$2:$D$51,"&lt;="&amp;A9)</x:f>
        <x:v>128.25</x:v>
      </x:c>
      <x:c r="F9" s="182" t="n">
        <x:f>'Empire Progression'!G9</x:f>
        <x:v>1.8</x:v>
      </x:c>
      <x:c r="G9" s="182" t="n">
        <x:f>Assumptions!$B$11</x:f>
        <x:v>0.9</x:v>
      </x:c>
      <x:c r="H9" s="110" t="n">
        <x:f>C9*E9*F9*G9</x:f>
        <x:v>3739.7700000000004</x:v>
      </x:c>
      <x:c r="I9" s="110" t="n">
        <x:f>IF(C9=0,0,H9/C9)</x:f>
        <x:v>207.76500000000001</x:v>
      </x:c>
      <x:c r="J9" s="105" t="str"/>
      <x:c r="K9" s="105"/>
      <x:c r="L9" s="105"/>
      <x:c r="M9" s="105"/>
      <x:c r="N9" s="105"/>
      <x:c r="O9" s="105"/>
      <x:c r="P9" s="105"/>
      <x:c r="Q9" s="105"/>
      <x:c r="R9" s="105"/>
      <x:c r="S9" s="105"/>
      <x:c r="T9" s="105"/>
      <x:c r="U9" s="105"/>
    </x:row>
    <x:row r="10">
      <x:c r="A10" s="105" t="n">
        <x:v>9</x:v>
      </x:c>
      <x:c r="B10" s="105" t="str">
        <x:v>Growing</x:v>
      </x:c>
      <x:c r="C10" s="105" t="n">
        <x:v>22</x:v>
      </x:c>
      <x:c r="D10" s="105" t="n">
        <x:v>22</x:v>
      </x:c>
      <x:c r="E10" s="110" t="n">
        <x:f>SUMIFS('Building Balance'!$F$2:$F$51,'Building Balance'!$D$2:$D$51,"&lt;="&amp;A10)/COUNTIFS('Building Balance'!$D$2:$D$51,"&lt;="&amp;A10)</x:f>
        <x:v>150.22727272727272</x:v>
      </x:c>
      <x:c r="F10" s="182" t="n">
        <x:f>'Empire Progression'!G10</x:f>
        <x:v>1.35</x:v>
      </x:c>
      <x:c r="G10" s="182" t="n">
        <x:f>Assumptions!$B$11</x:f>
        <x:v>0.9</x:v>
      </x:c>
      <x:c r="H10" s="110" t="n">
        <x:f>C10*E10*F10*G10</x:f>
        <x:v>4015.5750000000003</x:v>
      </x:c>
      <x:c r="I10" s="110" t="n">
        <x:f>IF(C10=0,0,H10/C10)</x:f>
        <x:v>182.52613636363637</x:v>
      </x:c>
      <x:c r="J10" s="105" t="str"/>
      <x:c r="K10" s="105"/>
      <x:c r="L10" s="105"/>
      <x:c r="M10" s="105"/>
      <x:c r="N10" s="105"/>
      <x:c r="O10" s="105"/>
      <x:c r="P10" s="105"/>
      <x:c r="Q10" s="105"/>
      <x:c r="R10" s="105"/>
      <x:c r="S10" s="105"/>
      <x:c r="T10" s="105"/>
      <x:c r="U10" s="105"/>
    </x:row>
    <x:row r="11">
      <x:c r="A11" s="105" t="n">
        <x:v>10</x:v>
      </x:c>
      <x:c r="B11" s="105" t="str">
        <x:v>Growing</x:v>
      </x:c>
      <x:c r="C11" s="105" t="n">
        <x:v>26</x:v>
      </x:c>
      <x:c r="D11" s="105" t="n">
        <x:v>25</x:v>
      </x:c>
      <x:c r="E11" s="110" t="n">
        <x:f>SUMIFS('Building Balance'!$F$2:$F$51,'Building Balance'!$D$2:$D$51,"&lt;="&amp;A11)/COUNTIFS('Building Balance'!$D$2:$D$51,"&lt;="&amp;A11)</x:f>
        <x:v>194.6</x:v>
      </x:c>
      <x:c r="F11" s="182" t="n">
        <x:f>'Empire Progression'!G11</x:f>
        <x:v>1.35</x:v>
      </x:c>
      <x:c r="G11" s="182" t="n">
        <x:f>Assumptions!$B$11</x:f>
        <x:v>0.9</x:v>
      </x:c>
      <x:c r="H11" s="110" t="n">
        <x:f>C11*E11*F11*G11</x:f>
        <x:v>6147.414</x:v>
      </x:c>
      <x:c r="I11" s="110" t="n">
        <x:f>IF(C11=0,0,H11/C11)</x:f>
        <x:v>236.439</x:v>
      </x:c>
      <x:c r="J11" s="105" t="str"/>
      <x:c r="K11" s="105"/>
      <x:c r="L11" s="105"/>
      <x:c r="M11" s="105"/>
      <x:c r="N11" s="105"/>
      <x:c r="O11" s="105"/>
      <x:c r="P11" s="105"/>
      <x:c r="Q11" s="105"/>
      <x:c r="R11" s="105"/>
      <x:c r="S11" s="105"/>
      <x:c r="T11" s="105"/>
      <x:c r="U11" s="105"/>
    </x:row>
    <x:row r="12">
      <x:c r="A12" s="105" t="n">
        <x:v>11</x:v>
      </x:c>
      <x:c r="B12" s="105" t="str">
        <x:v>Growing</x:v>
      </x:c>
      <x:c r="C12" s="105" t="n">
        <x:v>30</x:v>
      </x:c>
      <x:c r="D12" s="105" t="n">
        <x:v>28</x:v>
      </x:c>
      <x:c r="E12" s="110" t="n">
        <x:f>SUMIFS('Building Balance'!$F$2:$F$51,'Building Balance'!$D$2:$D$51,"&lt;="&amp;A12)/COUNTIFS('Building Balance'!$D$2:$D$51,"&lt;="&amp;A12)</x:f>
        <x:v>248.75</x:v>
      </x:c>
      <x:c r="F12" s="182" t="n">
        <x:f>'Empire Progression'!G12</x:f>
        <x:v>1.8</x:v>
      </x:c>
      <x:c r="G12" s="182" t="n">
        <x:f>Assumptions!$B$11</x:f>
        <x:v>0.9</x:v>
      </x:c>
      <x:c r="H12" s="110" t="n">
        <x:f>C12*E12*F12*G12</x:f>
        <x:v>12089.25</x:v>
      </x:c>
      <x:c r="I12" s="110" t="n">
        <x:f>IF(C12=0,0,H12/C12)</x:f>
        <x:v>402.975</x:v>
      </x:c>
      <x:c r="J12" s="105" t="str"/>
      <x:c r="K12" s="105"/>
      <x:c r="L12" s="105"/>
      <x:c r="M12" s="105"/>
      <x:c r="N12" s="105"/>
      <x:c r="O12" s="105"/>
      <x:c r="P12" s="105"/>
      <x:c r="Q12" s="105"/>
      <x:c r="R12" s="105"/>
      <x:c r="S12" s="105"/>
      <x:c r="T12" s="105"/>
      <x:c r="U12" s="105"/>
    </x:row>
    <x:row r="13">
      <x:c r="A13" s="105" t="n">
        <x:v>12</x:v>
      </x:c>
      <x:c r="B13" s="105" t="str">
        <x:v>Growing</x:v>
      </x:c>
      <x:c r="C13" s="105" t="n">
        <x:v>35</x:v>
      </x:c>
      <x:c r="D13" s="105" t="n">
        <x:v>30</x:v>
      </x:c>
      <x:c r="E13" s="110" t="n">
        <x:f>SUMIFS('Building Balance'!$F$2:$F$51,'Building Balance'!$D$2:$D$51,"&lt;="&amp;A13)/COUNTIFS('Building Balance'!$D$2:$D$51,"&lt;="&amp;A13)</x:f>
        <x:v>288.8333333333333</x:v>
      </x:c>
      <x:c r="F13" s="182" t="n">
        <x:f>'Empire Progression'!G13</x:f>
        <x:v>1.8</x:v>
      </x:c>
      <x:c r="G13" s="182" t="n">
        <x:f>Assumptions!$B$11</x:f>
        <x:v>0.9</x:v>
      </x:c>
      <x:c r="H13" s="110" t="n">
        <x:f>C13*E13*F13*G13</x:f>
        <x:v>16376.85</x:v>
      </x:c>
      <x:c r="I13" s="110" t="n">
        <x:f>IF(C13=0,0,H13/C13)</x:f>
        <x:v>467.91</x:v>
      </x:c>
      <x:c r="J13" s="105" t="str">
        <x:v>All 35 land slots level-eligible; land acquisition may still lag by Cash.</x:v>
      </x:c>
      <x:c r="K13" s="105"/>
      <x:c r="L13" s="105"/>
      <x:c r="M13" s="105"/>
      <x:c r="N13" s="105"/>
      <x:c r="O13" s="105"/>
      <x:c r="P13" s="105"/>
      <x:c r="Q13" s="105"/>
      <x:c r="R13" s="105"/>
      <x:c r="S13" s="105"/>
      <x:c r="T13" s="105"/>
      <x:c r="U13" s="105"/>
    </x:row>
    <x:row r="14">
      <x:c r="A14" s="105" t="n">
        <x:v>13</x:v>
      </x:c>
      <x:c r="B14" s="105" t="str">
        <x:v>Established</x:v>
      </x:c>
      <x:c r="C14" s="105" t="n">
        <x:v>35</x:v>
      </x:c>
      <x:c r="D14" s="105" t="n">
        <x:v>32</x:v>
      </x:c>
      <x:c r="E14" s="110" t="n">
        <x:f>SUMIFS('Building Balance'!$F$2:$F$51,'Building Balance'!$D$2:$D$51,"&lt;="&amp;A14)/COUNTIFS('Building Balance'!$D$2:$D$51,"&lt;="&amp;A14)</x:f>
        <x:v>342.65625</x:v>
      </x:c>
      <x:c r="F14" s="182" t="n">
        <x:f>'Empire Progression'!G14</x:f>
        <x:v>1.35</x:v>
      </x:c>
      <x:c r="G14" s="182" t="n">
        <x:f>Assumptions!$B$11</x:f>
        <x:v>0.9</x:v>
      </x:c>
      <x:c r="H14" s="110" t="n">
        <x:f>C14*E14*F14*G14</x:f>
        <x:v>14571.457031250002</x:v>
      </x:c>
      <x:c r="I14" s="110" t="n">
        <x:f>IF(C14=0,0,H14/C14)</x:f>
        <x:v>416.32734375000007</x:v>
      </x:c>
      <x:c r="J14" s="105" t="str"/>
      <x:c r="K14" s="105"/>
      <x:c r="L14" s="105"/>
      <x:c r="M14" s="105"/>
      <x:c r="N14" s="105"/>
      <x:c r="O14" s="105"/>
      <x:c r="P14" s="105"/>
      <x:c r="Q14" s="105"/>
      <x:c r="R14" s="105"/>
      <x:c r="S14" s="105"/>
      <x:c r="T14" s="105"/>
      <x:c r="U14" s="105"/>
    </x:row>
    <x:row r="15">
      <x:c r="A15" s="105" t="n">
        <x:v>14</x:v>
      </x:c>
      <x:c r="B15" s="105" t="str">
        <x:v>Established</x:v>
      </x:c>
      <x:c r="C15" s="105" t="n">
        <x:v>35</x:v>
      </x:c>
      <x:c r="D15" s="105" t="n">
        <x:v>35</x:v>
      </x:c>
      <x:c r="E15" s="110" t="n">
        <x:f>SUMIFS('Building Balance'!$F$2:$F$51,'Building Balance'!$D$2:$D$51,"&lt;="&amp;A15)/COUNTIFS('Building Balance'!$D$2:$D$51,"&lt;="&amp;A15)</x:f>
        <x:v>454.7142857142857</x:v>
      </x:c>
      <x:c r="F15" s="182" t="n">
        <x:f>'Empire Progression'!G15</x:f>
        <x:v>1.35</x:v>
      </x:c>
      <x:c r="G15" s="182" t="n">
        <x:f>Assumptions!$B$11</x:f>
        <x:v>0.9</x:v>
      </x:c>
      <x:c r="H15" s="110" t="n">
        <x:f>C15*E15*F15*G15</x:f>
        <x:v>19336.725000000002</x:v>
      </x:c>
      <x:c r="I15" s="110" t="n">
        <x:f>IF(C15=0,0,H15/C15)</x:f>
        <x:v>552.4778571428573</x:v>
      </x:c>
      <x:c r="J15" s="105" t="str"/>
      <x:c r="K15" s="105"/>
      <x:c r="L15" s="105"/>
      <x:c r="M15" s="105"/>
      <x:c r="N15" s="105"/>
      <x:c r="O15" s="105"/>
      <x:c r="P15" s="105"/>
      <x:c r="Q15" s="105"/>
      <x:c r="R15" s="105"/>
      <x:c r="S15" s="105"/>
      <x:c r="T15" s="105"/>
      <x:c r="U15" s="105"/>
    </x:row>
    <x:row r="16">
      <x:c r="A16" s="105" t="n">
        <x:v>15</x:v>
      </x:c>
      <x:c r="B16" s="105" t="str">
        <x:v>Established</x:v>
      </x:c>
      <x:c r="C16" s="105" t="n">
        <x:v>35</x:v>
      </x:c>
      <x:c r="D16" s="105" t="n">
        <x:v>38</x:v>
      </x:c>
      <x:c r="E16" s="110" t="n">
        <x:f>SUMIFS('Building Balance'!$F$2:$F$51,'Building Balance'!$D$2:$D$51,"&lt;="&amp;A16)/COUNTIFS('Building Balance'!$D$2:$D$51,"&lt;="&amp;A16)</x:f>
        <x:v>596.4473684210526</x:v>
      </x:c>
      <x:c r="F16" s="182" t="n">
        <x:f>'Empire Progression'!G16</x:f>
        <x:v>1.8</x:v>
      </x:c>
      <x:c r="G16" s="182" t="n">
        <x:f>Assumptions!$B$11</x:f>
        <x:v>0.9</x:v>
      </x:c>
      <x:c r="H16" s="110" t="n">
        <x:f>C16*E16*F16*G16</x:f>
        <x:v>33818.56578947368</x:v>
      </x:c>
      <x:c r="I16" s="110" t="n">
        <x:f>IF(C16=0,0,H16/C16)</x:f>
        <x:v>966.2447368421051</x:v>
      </x:c>
      <x:c r="J16" s="105" t="str"/>
      <x:c r="K16" s="105"/>
      <x:c r="L16" s="105"/>
      <x:c r="M16" s="105"/>
      <x:c r="N16" s="105"/>
      <x:c r="O16" s="105"/>
      <x:c r="P16" s="105"/>
      <x:c r="Q16" s="105"/>
      <x:c r="R16" s="105"/>
      <x:c r="S16" s="105"/>
      <x:c r="T16" s="105"/>
      <x:c r="U16" s="105"/>
    </x:row>
    <x:row r="17">
      <x:c r="A17" s="105" t="n">
        <x:v>16</x:v>
      </x:c>
      <x:c r="B17" s="105" t="str">
        <x:v>Established</x:v>
      </x:c>
      <x:c r="C17" s="105" t="n">
        <x:v>35</x:v>
      </x:c>
      <x:c r="D17" s="105" t="n">
        <x:v>40</x:v>
      </x:c>
      <x:c r="E17" s="110" t="n">
        <x:f>SUMIFS('Building Balance'!$F$2:$F$51,'Building Balance'!$D$2:$D$51,"&lt;="&amp;A17)/COUNTIFS('Building Balance'!$D$2:$D$51,"&lt;="&amp;A17)</x:f>
        <x:v>704.125</x:v>
      </x:c>
      <x:c r="F17" s="182" t="n">
        <x:f>'Empire Progression'!G17</x:f>
        <x:v>1.8</x:v>
      </x:c>
      <x:c r="G17" s="182" t="n">
        <x:f>Assumptions!$B$11</x:f>
        <x:v>0.9</x:v>
      </x:c>
      <x:c r="H17" s="110" t="n">
        <x:f>C17*E17*F17*G17</x:f>
        <x:v>39923.887500000004</x:v>
      </x:c>
      <x:c r="I17" s="110" t="n">
        <x:f>IF(C17=0,0,H17/C17)</x:f>
        <x:v>1140.6825000000001</x:v>
      </x:c>
      <x:c r="J17" s="105" t="str"/>
      <x:c r="K17" s="105"/>
      <x:c r="L17" s="105"/>
      <x:c r="M17" s="105"/>
      <x:c r="N17" s="105"/>
      <x:c r="O17" s="105"/>
      <x:c r="P17" s="105"/>
      <x:c r="Q17" s="105"/>
      <x:c r="R17" s="105"/>
      <x:c r="S17" s="105"/>
      <x:c r="T17" s="105"/>
      <x:c r="U17" s="105"/>
    </x:row>
    <x:row r="18">
      <x:c r="A18" s="105" t="n">
        <x:v>17</x:v>
      </x:c>
      <x:c r="B18" s="105" t="str">
        <x:v>Elite</x:v>
      </x:c>
      <x:c r="C18" s="105" t="n">
        <x:v>35</x:v>
      </x:c>
      <x:c r="D18" s="105" t="n">
        <x:v>41</x:v>
      </x:c>
      <x:c r="E18" s="110" t="n">
        <x:f>SUMIFS('Building Balance'!$F$2:$F$51,'Building Balance'!$D$2:$D$51,"&lt;="&amp;A18)/COUNTIFS('Building Balance'!$D$2:$D$51,"&lt;="&amp;A18)</x:f>
        <x:v>769.8780487804878</x:v>
      </x:c>
      <x:c r="F18" s="182" t="n">
        <x:f>'Empire Progression'!G18</x:f>
        <x:v>1.35</x:v>
      </x:c>
      <x:c r="G18" s="182" t="n">
        <x:f>Assumptions!$B$11</x:f>
        <x:v>0.9</x:v>
      </x:c>
      <x:c r="H18" s="110" t="n">
        <x:f>C18*E18*F18*G18</x:f>
        <x:v>32739.06402439025</x:v>
      </x:c>
      <x:c r="I18" s="110" t="n">
        <x:f>IF(C18=0,0,H18/C18)</x:f>
        <x:v>935.4018292682928</x:v>
      </x:c>
      <x:c r="J18" s="105" t="str"/>
      <x:c r="K18" s="105"/>
      <x:c r="L18" s="105"/>
      <x:c r="M18" s="105"/>
      <x:c r="N18" s="105"/>
      <x:c r="O18" s="105"/>
      <x:c r="P18" s="105"/>
      <x:c r="Q18" s="105"/>
      <x:c r="R18" s="105"/>
      <x:c r="S18" s="105"/>
      <x:c r="T18" s="105"/>
      <x:c r="U18" s="105"/>
    </x:row>
    <x:row r="19">
      <x:c r="A19" s="105" t="n">
        <x:v>18</x:v>
      </x:c>
      <x:c r="B19" s="105" t="str">
        <x:v>Elite</x:v>
      </x:c>
      <x:c r="C19" s="105" t="n">
        <x:v>35</x:v>
      </x:c>
      <x:c r="D19" s="105" t="n">
        <x:v>42</x:v>
      </x:c>
      <x:c r="E19" s="110" t="n">
        <x:f>SUMIFS('Building Balance'!$F$2:$F$51,'Building Balance'!$D$2:$D$51,"&lt;="&amp;A19)/COUNTIFS('Building Balance'!$D$2:$D$51,"&lt;="&amp;A19)</x:f>
        <x:v>851.547619047619</x:v>
      </x:c>
      <x:c r="F19" s="182" t="n">
        <x:f>'Empire Progression'!G19</x:f>
        <x:v>1.35</x:v>
      </x:c>
      <x:c r="G19" s="182" t="n">
        <x:f>Assumptions!$B$11</x:f>
        <x:v>0.9</x:v>
      </x:c>
      <x:c r="H19" s="110" t="n">
        <x:f>C19*E19*F19*G19</x:f>
        <x:v>36212.06250000001</x:v>
      </x:c>
      <x:c r="I19" s="110" t="n">
        <x:f>IF(C19=0,0,H19/C19)</x:f>
        <x:v>1034.6303571428573</x:v>
      </x:c>
      <x:c r="J19" s="105" t="str"/>
      <x:c r="K19" s="105"/>
      <x:c r="L19" s="105"/>
      <x:c r="M19" s="105"/>
      <x:c r="N19" s="105"/>
      <x:c r="O19" s="105"/>
      <x:c r="P19" s="105"/>
      <x:c r="Q19" s="105"/>
      <x:c r="R19" s="105"/>
      <x:c r="S19" s="105"/>
      <x:c r="T19" s="105"/>
      <x:c r="U19" s="105"/>
    </x:row>
    <x:row r="20">
      <x:c r="A20" s="105" t="n">
        <x:v>19</x:v>
      </x:c>
      <x:c r="B20" s="105" t="str">
        <x:v>Elite</x:v>
      </x:c>
      <x:c r="C20" s="105" t="n">
        <x:v>35</x:v>
      </x:c>
      <x:c r="D20" s="105" t="n">
        <x:v>44</x:v>
      </x:c>
      <x:c r="E20" s="110" t="n">
        <x:f>SUMIFS('Building Balance'!$F$2:$F$51,'Building Balance'!$D$2:$D$51,"&lt;="&amp;A20)/COUNTIFS('Building Balance'!$D$2:$D$51,"&lt;="&amp;A20)</x:f>
        <x:v>1058.2954545454545</x:v>
      </x:c>
      <x:c r="F20" s="182" t="n">
        <x:f>'Empire Progression'!G20</x:f>
        <x:v>1.8</x:v>
      </x:c>
      <x:c r="G20" s="182" t="n">
        <x:f>Assumptions!$B$11</x:f>
        <x:v>0.9</x:v>
      </x:c>
      <x:c r="H20" s="110" t="n">
        <x:f>C20*E20*F20*G20</x:f>
        <x:v>60005.35227272727</x:v>
      </x:c>
      <x:c r="I20" s="110" t="n">
        <x:f>IF(C20=0,0,H20/C20)</x:f>
        <x:v>1714.4386363636363</x:v>
      </x:c>
      <x:c r="J20" s="105" t="str"/>
      <x:c r="K20" s="105"/>
      <x:c r="L20" s="105"/>
      <x:c r="M20" s="105"/>
      <x:c r="N20" s="105"/>
      <x:c r="O20" s="105"/>
      <x:c r="P20" s="105"/>
      <x:c r="Q20" s="105"/>
      <x:c r="R20" s="105"/>
      <x:c r="S20" s="105"/>
      <x:c r="T20" s="105"/>
      <x:c r="U20" s="105"/>
    </x:row>
    <x:row r="21">
      <x:c r="A21" s="105" t="n">
        <x:v>20</x:v>
      </x:c>
      <x:c r="B21" s="105" t="str">
        <x:v>Elite</x:v>
      </x:c>
      <x:c r="C21" s="105" t="n">
        <x:v>35</x:v>
      </x:c>
      <x:c r="D21" s="105" t="n">
        <x:v>45</x:v>
      </x:c>
      <x:c r="E21" s="110" t="n">
        <x:f>SUMIFS('Building Balance'!$F$2:$F$51,'Building Balance'!$D$2:$D$51,"&lt;="&amp;A21)/COUNTIFS('Building Balance'!$D$2:$D$51,"&lt;="&amp;A21)</x:f>
        <x:v>1181.4444444444443</x:v>
      </x:c>
      <x:c r="F21" s="182" t="n">
        <x:f>'Empire Progression'!G21</x:f>
        <x:v>1.8</x:v>
      </x:c>
      <x:c r="G21" s="182" t="n">
        <x:f>Assumptions!$B$11</x:f>
        <x:v>0.9</x:v>
      </x:c>
      <x:c r="H21" s="110" t="n">
        <x:f>C21*E21*F21*G21</x:f>
        <x:v>66987.90000000001</x:v>
      </x:c>
      <x:c r="I21" s="110" t="n">
        <x:f>IF(C21=0,0,H21/C21)</x:f>
        <x:v>1913.9400000000003</x:v>
      </x:c>
      <x:c r="J21" s="105" t="str"/>
      <x:c r="K21" s="105"/>
      <x:c r="L21" s="105"/>
      <x:c r="M21" s="105"/>
      <x:c r="N21" s="105"/>
      <x:c r="O21" s="105"/>
      <x:c r="P21" s="105"/>
      <x:c r="Q21" s="105"/>
      <x:c r="R21" s="105"/>
      <x:c r="S21" s="105"/>
      <x:c r="T21" s="105"/>
      <x:c r="U21" s="105"/>
    </x:row>
    <x:row r="22">
      <x:c r="A22" s="105" t="n">
        <x:v>21</x:v>
      </x:c>
      <x:c r="B22" s="105" t="str">
        <x:v>Tycoon</x:v>
      </x:c>
      <x:c r="C22" s="105" t="n">
        <x:v>35</x:v>
      </x:c>
      <x:c r="D22" s="105" t="n">
        <x:v>46</x:v>
      </x:c>
      <x:c r="E22" s="110" t="n">
        <x:f>SUMIFS('Building Balance'!$F$2:$F$51,'Building Balance'!$D$2:$D$51,"&lt;="&amp;A22)/COUNTIFS('Building Balance'!$D$2:$D$51,"&lt;="&amp;A22)</x:f>
        <x:v>1329.6739130434783</x:v>
      </x:c>
      <x:c r="F22" s="182" t="n">
        <x:f>'Empire Progression'!G22</x:f>
        <x:v>1.35</x:v>
      </x:c>
      <x:c r="G22" s="182" t="n">
        <x:f>Assumptions!$B$11</x:f>
        <x:v>0.9</x:v>
      </x:c>
      <x:c r="H22" s="110" t="n">
        <x:f>C22*E22*F22*G22</x:f>
        <x:v>56544.38315217392</x:v>
      </x:c>
      <x:c r="I22" s="110" t="n">
        <x:f>IF(C22=0,0,H22/C22)</x:f>
        <x:v>1615.5538043478264</x:v>
      </x:c>
      <x:c r="J22" s="105" t="str"/>
      <x:c r="K22" s="105"/>
      <x:c r="L22" s="105"/>
      <x:c r="M22" s="105"/>
      <x:c r="N22" s="105"/>
      <x:c r="O22" s="105"/>
      <x:c r="P22" s="105"/>
      <x:c r="Q22" s="105"/>
      <x:c r="R22" s="105"/>
      <x:c r="S22" s="105"/>
      <x:c r="T22" s="105"/>
      <x:c r="U22" s="105"/>
    </x:row>
    <x:row r="23">
      <x:c r="A23" s="105" t="n">
        <x:v>22</x:v>
      </x:c>
      <x:c r="B23" s="105" t="str">
        <x:v>Tycoon</x:v>
      </x:c>
      <x:c r="C23" s="105" t="n">
        <x:v>35</x:v>
      </x:c>
      <x:c r="D23" s="105" t="n">
        <x:v>47</x:v>
      </x:c>
      <x:c r="E23" s="110" t="n">
        <x:f>SUMIFS('Building Balance'!$F$2:$F$51,'Building Balance'!$D$2:$D$51,"&lt;="&amp;A23)/COUNTIFS('Building Balance'!$D$2:$D$51,"&lt;="&amp;A23)</x:f>
        <x:v>1535.4255319148936</x:v>
      </x:c>
      <x:c r="F23" s="182" t="n">
        <x:f>'Empire Progression'!G23</x:f>
        <x:v>1.35</x:v>
      </x:c>
      <x:c r="G23" s="182" t="n">
        <x:f>Assumptions!$B$11</x:f>
        <x:v>0.9</x:v>
      </x:c>
      <x:c r="H23" s="110" t="n">
        <x:f>C23*E23*F23*G23</x:f>
        <x:v>65293.97074468086</x:v>
      </x:c>
      <x:c r="I23" s="110" t="n">
        <x:f>IF(C23=0,0,H23/C23)</x:f>
        <x:v>1865.542021276596</x:v>
      </x:c>
      <x:c r="J23" s="105" t="str"/>
      <x:c r="K23" s="105"/>
      <x:c r="L23" s="105"/>
      <x:c r="M23" s="105"/>
      <x:c r="N23" s="105"/>
      <x:c r="O23" s="105"/>
      <x:c r="P23" s="105"/>
      <x:c r="Q23" s="105"/>
      <x:c r="R23" s="105"/>
      <x:c r="S23" s="105"/>
      <x:c r="T23" s="105"/>
      <x:c r="U23" s="105"/>
    </x:row>
    <x:row r="24">
      <x:c r="A24" s="105" t="n">
        <x:v>23</x:v>
      </x:c>
      <x:c r="B24" s="105" t="str">
        <x:v>Tycoon</x:v>
      </x:c>
      <x:c r="C24" s="105" t="n">
        <x:v>35</x:v>
      </x:c>
      <x:c r="D24" s="105" t="n">
        <x:v>49</x:v>
      </x:c>
      <x:c r="E24" s="110" t="n">
        <x:f>SUMIFS('Building Balance'!$F$2:$F$51,'Building Balance'!$D$2:$D$51,"&lt;="&amp;A24)/COUNTIFS('Building Balance'!$D$2:$D$51,"&lt;="&amp;A24)</x:f>
        <x:v>2105.408163265306</x:v>
      </x:c>
      <x:c r="F24" s="182" t="n">
        <x:f>'Empire Progression'!G24</x:f>
        <x:v>1.8</x:v>
      </x:c>
      <x:c r="G24" s="182" t="n">
        <x:f>Assumptions!$B$11</x:f>
        <x:v>0.9</x:v>
      </x:c>
      <x:c r="H24" s="110" t="n">
        <x:f>C24*E24*F24*G24</x:f>
        <x:v>119376.64285714287</x:v>
      </x:c>
      <x:c r="I24" s="110" t="n">
        <x:f>IF(C24=0,0,H24/C24)</x:f>
        <x:v>3410.7612244897964</x:v>
      </x:c>
      <x:c r="J24" s="105" t="str"/>
      <x:c r="K24" s="105"/>
      <x:c r="L24" s="105"/>
      <x:c r="M24" s="105"/>
      <x:c r="N24" s="105"/>
      <x:c r="O24" s="105"/>
      <x:c r="P24" s="105"/>
      <x:c r="Q24" s="105"/>
      <x:c r="R24" s="105"/>
      <x:c r="S24" s="105"/>
      <x:c r="T24" s="105"/>
      <x:c r="U24" s="105"/>
    </x:row>
    <x:row r="25">
      <x:c r="A25" s="105" t="n">
        <x:v>24</x:v>
      </x:c>
      <x:c r="B25" s="105" t="str">
        <x:v>Tycoon</x:v>
      </x:c>
      <x:c r="C25" s="105" t="n">
        <x:v>35</x:v>
      </x:c>
      <x:c r="D25" s="105" t="n">
        <x:v>50</x:v>
      </x:c>
      <x:c r="E25" s="110" t="n">
        <x:f>SUMIFS('Building Balance'!$F$2:$F$51,'Building Balance'!$D$2:$D$51,"&lt;="&amp;A25)/COUNTIFS('Building Balance'!$D$2:$D$51,"&lt;="&amp;A25)</x:f>
        <x:v>2463.3</x:v>
      </x:c>
      <x:c r="F25" s="182" t="n">
        <x:f>'Empire Progression'!G25</x:f>
        <x:v>1.8</x:v>
      </x:c>
      <x:c r="G25" s="182" t="n">
        <x:f>Assumptions!$B$11</x:f>
        <x:v>0.9</x:v>
      </x:c>
      <x:c r="H25" s="110" t="n">
        <x:f>C25*E25*F25*G25</x:f>
        <x:v>139669.11</x:v>
      </x:c>
      <x:c r="I25" s="110" t="n">
        <x:f>IF(C25=0,0,H25/C25)</x:f>
        <x:v>3990.546</x:v>
      </x:c>
      <x:c r="J25" s="105" t="str"/>
      <x:c r="K25" s="105"/>
      <x:c r="L25" s="105"/>
      <x:c r="M25" s="105"/>
      <x:c r="N25" s="105"/>
      <x:c r="O25" s="105"/>
      <x:c r="P25" s="105"/>
      <x:c r="Q25" s="105"/>
      <x:c r="R25" s="105"/>
      <x:c r="S25" s="105"/>
      <x:c r="T25" s="105"/>
      <x:c r="U25" s="105"/>
    </x:row>
    <x:row r="26">
      <x:c r="A26" s="105"/>
      <x:c r="B26" s="105"/>
      <x:c r="C26" s="105"/>
      <x:c r="D26" s="105"/>
      <x:c r="E26" s="105"/>
      <x:c r="F26" s="105"/>
      <x:c r="G26" s="105"/>
      <x:c r="H26" s="105"/>
      <x:c r="I26" s="105"/>
      <x:c r="J26" s="105"/>
      <x:c r="K26" s="105"/>
      <x:c r="L26" s="105"/>
      <x:c r="M26" s="105"/>
      <x:c r="N26" s="105"/>
      <x:c r="O26" s="105"/>
      <x:c r="P26" s="105"/>
      <x:c r="Q26" s="105"/>
      <x:c r="R26" s="105"/>
      <x:c r="S26" s="105"/>
      <x:c r="T26" s="105"/>
      <x:c r="U26" s="105"/>
    </x:row>
    <x:row r="27">
      <x:c r="A27" s="105"/>
      <x:c r="B27" s="105"/>
      <x:c r="C27" s="105"/>
      <x:c r="D27" s="105"/>
      <x:c r="E27" s="105"/>
      <x:c r="F27" s="105"/>
      <x:c r="G27" s="105"/>
      <x:c r="H27" s="105"/>
      <x:c r="I27" s="105"/>
      <x:c r="J27" s="105"/>
      <x:c r="K27" s="105"/>
      <x:c r="L27" s="105"/>
      <x:c r="M27" s="105"/>
      <x:c r="N27" s="105"/>
      <x:c r="O27" s="105"/>
      <x:c r="P27" s="105"/>
      <x:c r="Q27" s="105"/>
      <x:c r="R27" s="105"/>
      <x:c r="S27" s="105"/>
      <x:c r="T27" s="105"/>
      <x:c r="U27" s="105"/>
    </x:row>
    <x:row r="28">
      <x:c r="A28" s="105"/>
      <x:c r="B28" s="105"/>
      <x:c r="C28" s="105"/>
      <x:c r="D28" s="105"/>
      <x:c r="E28" s="105"/>
      <x:c r="F28" s="105"/>
      <x:c r="G28" s="105"/>
      <x:c r="H28" s="105"/>
      <x:c r="I28" s="105"/>
      <x:c r="J28" s="105"/>
      <x:c r="K28" s="105"/>
      <x:c r="L28" s="105"/>
      <x:c r="M28" s="105"/>
      <x:c r="N28" s="105"/>
      <x:c r="O28" s="105"/>
      <x:c r="P28" s="105"/>
      <x:c r="Q28" s="105"/>
      <x:c r="R28" s="105"/>
      <x:c r="S28" s="105"/>
      <x:c r="T28" s="105"/>
      <x:c r="U28" s="105"/>
    </x:row>
    <x:row r="29">
      <x:c r="A29" s="105"/>
      <x:c r="B29" s="105"/>
      <x:c r="C29" s="105"/>
      <x:c r="D29" s="105"/>
      <x:c r="E29" s="105"/>
      <x:c r="F29" s="105"/>
      <x:c r="G29" s="105"/>
      <x:c r="H29" s="105"/>
      <x:c r="I29" s="105"/>
      <x:c r="J29" s="105"/>
      <x:c r="K29" s="105"/>
      <x:c r="L29" s="105"/>
      <x:c r="M29" s="105"/>
      <x:c r="N29" s="105"/>
      <x:c r="O29" s="105"/>
      <x:c r="P29" s="105"/>
      <x:c r="Q29" s="105"/>
      <x:c r="R29" s="105"/>
      <x:c r="S29" s="105"/>
      <x:c r="T29" s="105"/>
      <x:c r="U29" s="105"/>
    </x:row>
    <x:row r="30">
      <x:c r="A30" s="105"/>
      <x:c r="B30" s="105"/>
      <x:c r="C30" s="105"/>
      <x:c r="D30" s="105"/>
      <x:c r="E30" s="105"/>
      <x:c r="F30" s="105"/>
      <x:c r="G30" s="105"/>
      <x:c r="H30" s="105"/>
      <x:c r="I30" s="105"/>
      <x:c r="J30" s="105"/>
      <x:c r="K30" s="105"/>
      <x:c r="L30" s="105"/>
      <x:c r="M30" s="105"/>
      <x:c r="N30" s="105"/>
      <x:c r="O30" s="105"/>
      <x:c r="P30" s="105"/>
      <x:c r="Q30" s="105"/>
      <x:c r="R30" s="105"/>
      <x:c r="S30" s="105"/>
      <x:c r="T30" s="105"/>
      <x:c r="U30" s="105"/>
    </x:row>
    <x:row r="31">
      <x:c r="A31" s="105"/>
      <x:c r="B31" s="105"/>
      <x:c r="C31" s="105"/>
      <x:c r="D31" s="105"/>
      <x:c r="E31" s="105"/>
      <x:c r="F31" s="105"/>
      <x:c r="G31" s="105"/>
      <x:c r="H31" s="105"/>
      <x:c r="I31" s="105"/>
      <x:c r="J31" s="105"/>
      <x:c r="K31" s="105"/>
      <x:c r="L31" s="105"/>
      <x:c r="M31" s="105"/>
      <x:c r="N31" s="105"/>
      <x:c r="O31" s="105"/>
      <x:c r="P31" s="105"/>
      <x:c r="Q31" s="105"/>
      <x:c r="R31" s="105"/>
      <x:c r="S31" s="105"/>
      <x:c r="T31" s="105"/>
      <x:c r="U31" s="105"/>
    </x:row>
    <x:row r="32">
      <x:c r="A32" s="105"/>
      <x:c r="B32" s="105"/>
      <x:c r="C32" s="105"/>
      <x:c r="D32" s="105"/>
      <x:c r="E32" s="105"/>
      <x:c r="F32" s="105"/>
      <x:c r="G32" s="105"/>
      <x:c r="H32" s="105"/>
      <x:c r="I32" s="105"/>
      <x:c r="J32" s="105"/>
      <x:c r="K32" s="105"/>
      <x:c r="L32" s="105"/>
      <x:c r="M32" s="105"/>
      <x:c r="N32" s="105"/>
      <x:c r="O32" s="105"/>
      <x:c r="P32" s="105"/>
      <x:c r="Q32" s="105"/>
      <x:c r="R32" s="105"/>
      <x:c r="S32" s="105"/>
      <x:c r="T32" s="105"/>
      <x:c r="U32" s="105"/>
    </x:row>
    <x:row r="33">
      <x:c r="A33" s="105"/>
      <x:c r="B33" s="105"/>
      <x:c r="C33" s="105"/>
      <x:c r="D33" s="105"/>
      <x:c r="E33" s="105"/>
      <x:c r="F33" s="105"/>
      <x:c r="G33" s="105"/>
      <x:c r="H33" s="105"/>
      <x:c r="I33" s="105"/>
      <x:c r="J33" s="105"/>
      <x:c r="K33" s="105"/>
      <x:c r="L33" s="105"/>
      <x:c r="M33" s="105"/>
      <x:c r="N33" s="105"/>
      <x:c r="O33" s="105"/>
      <x:c r="P33" s="105"/>
      <x:c r="Q33" s="105"/>
      <x:c r="R33" s="105"/>
      <x:c r="S33" s="105"/>
      <x:c r="T33" s="105"/>
      <x:c r="U33" s="105"/>
    </x:row>
    <x:row r="34">
      <x:c r="A34" s="105"/>
      <x:c r="B34" s="105"/>
      <x:c r="C34" s="105"/>
      <x:c r="D34" s="105"/>
      <x:c r="E34" s="105"/>
      <x:c r="F34" s="105"/>
      <x:c r="G34" s="105"/>
      <x:c r="H34" s="105"/>
      <x:c r="I34" s="105"/>
      <x:c r="J34" s="105"/>
      <x:c r="K34" s="105"/>
      <x:c r="L34" s="105"/>
      <x:c r="M34" s="105"/>
      <x:c r="N34" s="105"/>
      <x:c r="O34" s="105"/>
      <x:c r="P34" s="105"/>
      <x:c r="Q34" s="105"/>
      <x:c r="R34" s="105"/>
      <x:c r="S34" s="105"/>
      <x:c r="T34" s="105"/>
      <x:c r="U34" s="105"/>
    </x:row>
    <x:row r="35">
      <x:c r="A35" s="105"/>
      <x:c r="B35" s="105"/>
      <x:c r="C35" s="105"/>
      <x:c r="D35" s="105"/>
      <x:c r="E35" s="105"/>
      <x:c r="F35" s="105"/>
      <x:c r="G35" s="105"/>
      <x:c r="H35" s="105"/>
      <x:c r="I35" s="105"/>
      <x:c r="J35" s="105"/>
      <x:c r="K35" s="105"/>
      <x:c r="L35" s="105"/>
      <x:c r="M35" s="105"/>
      <x:c r="N35" s="105"/>
      <x:c r="O35" s="105"/>
      <x:c r="P35" s="105"/>
      <x:c r="Q35" s="105"/>
      <x:c r="R35" s="105"/>
      <x:c r="S35" s="105"/>
      <x:c r="T35" s="105"/>
      <x:c r="U35" s="105"/>
    </x:row>
    <x:row r="36">
      <x:c r="A36" s="105"/>
      <x:c r="B36" s="105"/>
      <x:c r="C36" s="105"/>
      <x:c r="D36" s="105"/>
      <x:c r="E36" s="105"/>
      <x:c r="F36" s="105"/>
      <x:c r="G36" s="105"/>
      <x:c r="H36" s="105"/>
      <x:c r="I36" s="105"/>
      <x:c r="J36" s="105"/>
      <x:c r="K36" s="105"/>
      <x:c r="L36" s="105"/>
      <x:c r="M36" s="105"/>
      <x:c r="N36" s="105"/>
      <x:c r="O36" s="105"/>
      <x:c r="P36" s="105"/>
      <x:c r="Q36" s="105"/>
      <x:c r="R36" s="105"/>
      <x:c r="S36" s="105"/>
      <x:c r="T36" s="105"/>
      <x:c r="U36" s="105"/>
    </x:row>
    <x:row r="37">
      <x:c r="A37" s="105"/>
      <x:c r="B37" s="105"/>
      <x:c r="C37" s="105"/>
      <x:c r="D37" s="105"/>
      <x:c r="E37" s="105"/>
      <x:c r="F37" s="105"/>
      <x:c r="G37" s="105"/>
      <x:c r="H37" s="105"/>
      <x:c r="I37" s="105"/>
      <x:c r="J37" s="105"/>
      <x:c r="K37" s="105"/>
      <x:c r="L37" s="105"/>
      <x:c r="M37" s="105"/>
      <x:c r="N37" s="105"/>
      <x:c r="O37" s="105"/>
      <x:c r="P37" s="105"/>
      <x:c r="Q37" s="105"/>
      <x:c r="R37" s="105"/>
      <x:c r="S37" s="105"/>
      <x:c r="T37" s="105"/>
      <x:c r="U37" s="105"/>
    </x:row>
    <x:row r="38">
      <x:c r="A38" s="105"/>
      <x:c r="B38" s="105"/>
      <x:c r="C38" s="105"/>
      <x:c r="D38" s="105"/>
      <x:c r="E38" s="105"/>
      <x:c r="F38" s="105"/>
      <x:c r="G38" s="105"/>
      <x:c r="H38" s="105"/>
      <x:c r="I38" s="105"/>
      <x:c r="J38" s="105"/>
      <x:c r="K38" s="105"/>
      <x:c r="L38" s="105"/>
      <x:c r="M38" s="105"/>
      <x:c r="N38" s="105"/>
      <x:c r="O38" s="105"/>
      <x:c r="P38" s="105"/>
      <x:c r="Q38" s="105"/>
      <x:c r="R38" s="105"/>
      <x:c r="S38" s="105"/>
      <x:c r="T38" s="105"/>
      <x:c r="U38" s="105"/>
    </x:row>
    <x:row r="39">
      <x:c r="A39" s="105"/>
      <x:c r="B39" s="105"/>
      <x:c r="C39" s="105"/>
      <x:c r="D39" s="105"/>
      <x:c r="E39" s="105"/>
      <x:c r="F39" s="105"/>
      <x:c r="G39" s="105"/>
      <x:c r="H39" s="105"/>
      <x:c r="I39" s="105"/>
      <x:c r="J39" s="105"/>
      <x:c r="K39" s="105"/>
      <x:c r="L39" s="105"/>
      <x:c r="M39" s="105"/>
      <x:c r="N39" s="105"/>
      <x:c r="O39" s="105"/>
      <x:c r="P39" s="105"/>
      <x:c r="Q39" s="105"/>
      <x:c r="R39" s="105"/>
      <x:c r="S39" s="105"/>
      <x:c r="T39" s="105"/>
      <x:c r="U39" s="105"/>
    </x:row>
    <x:row r="40">
      <x:c r="A40" s="105"/>
      <x:c r="B40" s="105"/>
      <x:c r="C40" s="105"/>
      <x:c r="D40" s="105"/>
      <x:c r="E40" s="105"/>
      <x:c r="F40" s="105"/>
      <x:c r="G40" s="105"/>
      <x:c r="H40" s="105"/>
      <x:c r="I40" s="105"/>
      <x:c r="J40" s="105"/>
      <x:c r="K40" s="105"/>
      <x:c r="L40" s="105"/>
      <x:c r="M40" s="105"/>
      <x:c r="N40" s="105"/>
      <x:c r="O40" s="105"/>
      <x:c r="P40" s="105"/>
      <x:c r="Q40" s="105"/>
      <x:c r="R40" s="105"/>
      <x:c r="S40" s="105"/>
      <x:c r="T40" s="105"/>
      <x:c r="U40" s="105"/>
    </x:row>
    <x:row r="41">
      <x:c r="A41" s="105"/>
      <x:c r="B41" s="105"/>
      <x:c r="C41" s="105"/>
      <x:c r="D41" s="105"/>
      <x:c r="E41" s="105"/>
      <x:c r="F41" s="105"/>
      <x:c r="G41" s="105"/>
      <x:c r="H41" s="105"/>
      <x:c r="I41" s="105"/>
      <x:c r="J41" s="105"/>
      <x:c r="K41" s="105"/>
      <x:c r="L41" s="105"/>
      <x:c r="M41" s="105"/>
      <x:c r="N41" s="105"/>
      <x:c r="O41" s="105"/>
      <x:c r="P41" s="105"/>
      <x:c r="Q41" s="105"/>
      <x:c r="R41" s="105"/>
      <x:c r="S41" s="105"/>
      <x:c r="T41" s="105"/>
      <x:c r="U41" s="105"/>
    </x:row>
    <x:row r="42">
      <x:c r="A42" s="105"/>
      <x:c r="B42" s="105"/>
      <x:c r="C42" s="105"/>
      <x:c r="D42" s="105"/>
      <x:c r="E42" s="105"/>
      <x:c r="F42" s="105"/>
      <x:c r="G42" s="105"/>
      <x:c r="H42" s="105"/>
      <x:c r="I42" s="105"/>
      <x:c r="J42" s="105"/>
      <x:c r="K42" s="105"/>
      <x:c r="L42" s="105"/>
      <x:c r="M42" s="105"/>
      <x:c r="N42" s="105"/>
      <x:c r="O42" s="105"/>
      <x:c r="P42" s="105"/>
      <x:c r="Q42" s="105"/>
      <x:c r="R42" s="105"/>
      <x:c r="S42" s="105"/>
      <x:c r="T42" s="105"/>
      <x:c r="U42" s="105"/>
    </x:row>
    <x:row r="43">
      <x:c r="A43" s="105"/>
      <x:c r="B43" s="105"/>
      <x:c r="C43" s="105"/>
      <x:c r="D43" s="105"/>
      <x:c r="E43" s="105"/>
      <x:c r="F43" s="105"/>
      <x:c r="G43" s="105"/>
      <x:c r="H43" s="105"/>
      <x:c r="I43" s="105"/>
      <x:c r="J43" s="105"/>
      <x:c r="K43" s="105"/>
      <x:c r="L43" s="105"/>
      <x:c r="M43" s="105"/>
      <x:c r="N43" s="105"/>
      <x:c r="O43" s="105"/>
      <x:c r="P43" s="105"/>
      <x:c r="Q43" s="105"/>
      <x:c r="R43" s="105"/>
      <x:c r="S43" s="105"/>
      <x:c r="T43" s="105"/>
      <x:c r="U43" s="105"/>
    </x:row>
    <x:row r="44">
      <x:c r="A44" s="105"/>
      <x:c r="B44" s="105"/>
      <x:c r="C44" s="105"/>
      <x:c r="D44" s="105"/>
      <x:c r="E44" s="105"/>
      <x:c r="F44" s="105"/>
      <x:c r="G44" s="105"/>
      <x:c r="H44" s="105"/>
      <x:c r="I44" s="105"/>
      <x:c r="J44" s="105"/>
      <x:c r="K44" s="105"/>
      <x:c r="L44" s="105"/>
      <x:c r="M44" s="105"/>
      <x:c r="N44" s="105"/>
      <x:c r="O44" s="105"/>
      <x:c r="P44" s="105"/>
      <x:c r="Q44" s="105"/>
      <x:c r="R44" s="105"/>
      <x:c r="S44" s="105"/>
      <x:c r="T44" s="105"/>
      <x:c r="U44" s="105"/>
    </x:row>
    <x:row r="45">
      <x:c r="A45" s="105"/>
      <x:c r="B45" s="105"/>
      <x:c r="C45" s="105"/>
      <x:c r="D45" s="105"/>
      <x:c r="E45" s="105"/>
      <x:c r="F45" s="105"/>
      <x:c r="G45" s="105"/>
      <x:c r="H45" s="105"/>
      <x:c r="I45" s="105"/>
      <x:c r="J45" s="105"/>
      <x:c r="K45" s="105"/>
      <x:c r="L45" s="105"/>
      <x:c r="M45" s="105"/>
      <x:c r="N45" s="105"/>
      <x:c r="O45" s="105"/>
      <x:c r="P45" s="105"/>
      <x:c r="Q45" s="105"/>
      <x:c r="R45" s="105"/>
      <x:c r="S45" s="105"/>
      <x:c r="T45" s="105"/>
      <x:c r="U45" s="105"/>
    </x:row>
    <x:row r="46">
      <x:c r="A46" s="105"/>
      <x:c r="B46" s="105"/>
      <x:c r="C46" s="105"/>
      <x:c r="D46" s="105"/>
      <x:c r="E46" s="105"/>
      <x:c r="F46" s="105"/>
      <x:c r="G46" s="105"/>
      <x:c r="H46" s="105"/>
      <x:c r="I46" s="105"/>
      <x:c r="J46" s="105"/>
      <x:c r="K46" s="105"/>
      <x:c r="L46" s="105"/>
      <x:c r="M46" s="105"/>
      <x:c r="N46" s="105"/>
      <x:c r="O46" s="105"/>
      <x:c r="P46" s="105"/>
      <x:c r="Q46" s="105"/>
      <x:c r="R46" s="105"/>
      <x:c r="S46" s="105"/>
      <x:c r="T46" s="105"/>
      <x:c r="U46" s="105"/>
    </x:row>
    <x:row r="47">
      <x:c r="A47" s="105"/>
      <x:c r="B47" s="105"/>
      <x:c r="C47" s="105"/>
      <x:c r="D47" s="105"/>
      <x:c r="E47" s="105"/>
      <x:c r="F47" s="105"/>
      <x:c r="G47" s="105"/>
      <x:c r="H47" s="105"/>
      <x:c r="I47" s="105"/>
      <x:c r="J47" s="105"/>
      <x:c r="K47" s="105"/>
      <x:c r="L47" s="105"/>
      <x:c r="M47" s="105"/>
      <x:c r="N47" s="105"/>
      <x:c r="O47" s="105"/>
      <x:c r="P47" s="105"/>
      <x:c r="Q47" s="105"/>
      <x:c r="R47" s="105"/>
      <x:c r="S47" s="105"/>
      <x:c r="T47" s="105"/>
      <x:c r="U47" s="105"/>
    </x:row>
    <x:row r="48">
      <x:c r="A48" s="105"/>
      <x:c r="B48" s="105"/>
      <x:c r="C48" s="105"/>
      <x:c r="D48" s="105"/>
      <x:c r="E48" s="105"/>
      <x:c r="F48" s="105"/>
      <x:c r="G48" s="105"/>
      <x:c r="H48" s="105"/>
      <x:c r="I48" s="105"/>
      <x:c r="J48" s="105"/>
      <x:c r="K48" s="105"/>
      <x:c r="L48" s="105"/>
      <x:c r="M48" s="105"/>
      <x:c r="N48" s="105"/>
      <x:c r="O48" s="105"/>
      <x:c r="P48" s="105"/>
      <x:c r="Q48" s="105"/>
      <x:c r="R48" s="105"/>
      <x:c r="S48" s="105"/>
      <x:c r="T48" s="105"/>
      <x:c r="U48" s="105"/>
    </x:row>
    <x:row r="49">
      <x:c r="A49" s="105"/>
      <x:c r="B49" s="105"/>
      <x:c r="C49" s="105"/>
      <x:c r="D49" s="105"/>
      <x:c r="E49" s="105"/>
      <x:c r="F49" s="105"/>
      <x:c r="G49" s="105"/>
      <x:c r="H49" s="105"/>
      <x:c r="I49" s="105"/>
      <x:c r="J49" s="105"/>
      <x:c r="K49" s="105"/>
      <x:c r="L49" s="105"/>
      <x:c r="M49" s="105"/>
      <x:c r="N49" s="105"/>
      <x:c r="O49" s="105"/>
      <x:c r="P49" s="105"/>
      <x:c r="Q49" s="105"/>
      <x:c r="R49" s="105"/>
      <x:c r="S49" s="105"/>
      <x:c r="T49" s="105"/>
      <x:c r="U49" s="105"/>
    </x:row>
    <x:row r="50">
      <x:c r="A50" s="105"/>
      <x:c r="B50" s="105"/>
      <x:c r="C50" s="105"/>
      <x:c r="D50" s="105"/>
      <x:c r="E50" s="105"/>
      <x:c r="F50" s="105"/>
      <x:c r="G50" s="105"/>
      <x:c r="H50" s="105"/>
      <x:c r="I50" s="105"/>
      <x:c r="J50" s="105"/>
      <x:c r="K50" s="105"/>
      <x:c r="L50" s="105"/>
      <x:c r="M50" s="105"/>
      <x:c r="N50" s="105"/>
      <x:c r="O50" s="105"/>
      <x:c r="P50" s="105"/>
      <x:c r="Q50" s="105"/>
      <x:c r="R50" s="105"/>
      <x:c r="S50" s="105"/>
      <x:c r="T50" s="105"/>
      <x:c r="U50" s="105"/>
    </x:row>
    <x:row r="51">
      <x:c r="A51" s="105"/>
      <x:c r="B51" s="105"/>
      <x:c r="C51" s="105"/>
      <x:c r="D51" s="105"/>
      <x:c r="E51" s="105"/>
      <x:c r="F51" s="105"/>
      <x:c r="G51" s="105"/>
      <x:c r="H51" s="105"/>
      <x:c r="I51" s="105"/>
      <x:c r="J51" s="105"/>
      <x:c r="K51" s="105"/>
      <x:c r="L51" s="105"/>
      <x:c r="M51" s="105"/>
      <x:c r="N51" s="105"/>
      <x:c r="O51" s="105"/>
      <x:c r="P51" s="105"/>
      <x:c r="Q51" s="105"/>
      <x:c r="R51" s="105"/>
      <x:c r="S51" s="105"/>
      <x:c r="T51" s="105"/>
      <x:c r="U51" s="105"/>
    </x:row>
    <x:row r="52">
      <x:c r="A52" s="105"/>
      <x:c r="B52" s="105"/>
      <x:c r="C52" s="105"/>
      <x:c r="D52" s="105"/>
      <x:c r="E52" s="105"/>
      <x:c r="F52" s="105"/>
      <x:c r="G52" s="105"/>
      <x:c r="H52" s="105"/>
      <x:c r="I52" s="105"/>
      <x:c r="J52" s="105"/>
      <x:c r="K52" s="105"/>
      <x:c r="L52" s="105"/>
      <x:c r="M52" s="105"/>
      <x:c r="N52" s="105"/>
      <x:c r="O52" s="105"/>
      <x:c r="P52" s="105"/>
      <x:c r="Q52" s="105"/>
      <x:c r="R52" s="105"/>
      <x:c r="S52" s="105"/>
      <x:c r="T52" s="105"/>
      <x:c r="U52" s="105"/>
    </x:row>
    <x:row r="53">
      <x:c r="A53" s="105"/>
      <x:c r="B53" s="105"/>
      <x:c r="C53" s="105"/>
      <x:c r="D53" s="105"/>
      <x:c r="E53" s="105"/>
      <x:c r="F53" s="105"/>
      <x:c r="G53" s="105"/>
      <x:c r="H53" s="105"/>
      <x:c r="I53" s="105"/>
      <x:c r="J53" s="105"/>
      <x:c r="K53" s="105"/>
      <x:c r="L53" s="105"/>
      <x:c r="M53" s="105"/>
      <x:c r="N53" s="105"/>
      <x:c r="O53" s="105"/>
      <x:c r="P53" s="105"/>
      <x:c r="Q53" s="105"/>
      <x:c r="R53" s="105"/>
      <x:c r="S53" s="105"/>
      <x:c r="T53" s="105"/>
      <x:c r="U53" s="105"/>
    </x:row>
    <x:row r="54">
      <x:c r="A54" s="105"/>
      <x:c r="B54" s="105"/>
      <x:c r="C54" s="105"/>
      <x:c r="D54" s="105"/>
      <x:c r="E54" s="105"/>
      <x:c r="F54" s="105"/>
      <x:c r="G54" s="105"/>
      <x:c r="H54" s="105"/>
      <x:c r="I54" s="105"/>
      <x:c r="J54" s="105"/>
      <x:c r="K54" s="105"/>
      <x:c r="L54" s="105"/>
      <x:c r="M54" s="105"/>
      <x:c r="N54" s="105"/>
      <x:c r="O54" s="105"/>
      <x:c r="P54" s="105"/>
      <x:c r="Q54" s="105"/>
      <x:c r="R54" s="105"/>
      <x:c r="S54" s="105"/>
      <x:c r="T54" s="105"/>
      <x:c r="U54" s="105"/>
    </x:row>
    <x:row r="55">
      <x:c r="A55" s="105"/>
      <x:c r="B55" s="105"/>
      <x:c r="C55" s="105"/>
      <x:c r="D55" s="105"/>
      <x:c r="E55" s="105"/>
      <x:c r="F55" s="105"/>
      <x:c r="G55" s="105"/>
      <x:c r="H55" s="105"/>
      <x:c r="I55" s="105"/>
      <x:c r="J55" s="105"/>
      <x:c r="K55" s="105"/>
      <x:c r="L55" s="105"/>
      <x:c r="M55" s="105"/>
      <x:c r="N55" s="105"/>
      <x:c r="O55" s="105"/>
      <x:c r="P55" s="105"/>
      <x:c r="Q55" s="105"/>
      <x:c r="R55" s="105"/>
      <x:c r="S55" s="105"/>
      <x:c r="T55" s="105"/>
      <x:c r="U55" s="105"/>
    </x:row>
    <x:row r="56">
      <x:c r="A56" s="105"/>
      <x:c r="B56" s="105"/>
      <x:c r="C56" s="105"/>
      <x:c r="D56" s="105"/>
      <x:c r="E56" s="105"/>
      <x:c r="F56" s="105"/>
      <x:c r="G56" s="105"/>
      <x:c r="H56" s="105"/>
      <x:c r="I56" s="105"/>
      <x:c r="J56" s="105"/>
      <x:c r="K56" s="105"/>
      <x:c r="L56" s="105"/>
      <x:c r="M56" s="105"/>
      <x:c r="N56" s="105"/>
      <x:c r="O56" s="105"/>
      <x:c r="P56" s="105"/>
      <x:c r="Q56" s="105"/>
      <x:c r="R56" s="105"/>
      <x:c r="S56" s="105"/>
      <x:c r="T56" s="105"/>
      <x:c r="U56" s="105"/>
    </x:row>
    <x:row r="57">
      <x:c r="A57" s="105"/>
      <x:c r="B57" s="105"/>
      <x:c r="C57" s="105"/>
      <x:c r="D57" s="105"/>
      <x:c r="E57" s="105"/>
      <x:c r="F57" s="105"/>
      <x:c r="G57" s="105"/>
      <x:c r="H57" s="105"/>
      <x:c r="I57" s="105"/>
      <x:c r="J57" s="105"/>
      <x:c r="K57" s="105"/>
      <x:c r="L57" s="105"/>
      <x:c r="M57" s="105"/>
      <x:c r="N57" s="105"/>
      <x:c r="O57" s="105"/>
      <x:c r="P57" s="105"/>
      <x:c r="Q57" s="105"/>
      <x:c r="R57" s="105"/>
      <x:c r="S57" s="105"/>
      <x:c r="T57" s="105"/>
      <x:c r="U57" s="105"/>
    </x:row>
    <x:row r="58">
      <x:c r="A58" s="105"/>
      <x:c r="B58" s="105"/>
      <x:c r="C58" s="105"/>
      <x:c r="D58" s="105"/>
      <x:c r="E58" s="105"/>
      <x:c r="F58" s="105"/>
      <x:c r="G58" s="105"/>
      <x:c r="H58" s="105"/>
      <x:c r="I58" s="105"/>
      <x:c r="J58" s="105"/>
      <x:c r="K58" s="105"/>
      <x:c r="L58" s="105"/>
      <x:c r="M58" s="105"/>
      <x:c r="N58" s="105"/>
      <x:c r="O58" s="105"/>
      <x:c r="P58" s="105"/>
      <x:c r="Q58" s="105"/>
      <x:c r="R58" s="105"/>
      <x:c r="S58" s="105"/>
      <x:c r="T58" s="105"/>
      <x:c r="U58" s="105"/>
    </x:row>
    <x:row r="59">
      <x:c r="A59" s="105"/>
      <x:c r="B59" s="105"/>
      <x:c r="C59" s="105"/>
      <x:c r="D59" s="105"/>
      <x:c r="E59" s="105"/>
      <x:c r="F59" s="105"/>
      <x:c r="G59" s="105"/>
      <x:c r="H59" s="105"/>
      <x:c r="I59" s="105"/>
      <x:c r="J59" s="105"/>
      <x:c r="K59" s="105"/>
      <x:c r="L59" s="105"/>
      <x:c r="M59" s="105"/>
      <x:c r="N59" s="105"/>
      <x:c r="O59" s="105"/>
      <x:c r="P59" s="105"/>
      <x:c r="Q59" s="105"/>
      <x:c r="R59" s="105"/>
      <x:c r="S59" s="105"/>
      <x:c r="T59" s="105"/>
      <x:c r="U59" s="105"/>
    </x:row>
    <x:row r="60">
      <x:c r="A60" s="105"/>
      <x:c r="B60" s="105"/>
      <x:c r="C60" s="105"/>
      <x:c r="D60" s="105"/>
      <x:c r="E60" s="105"/>
      <x:c r="F60" s="105"/>
      <x:c r="G60" s="105"/>
      <x:c r="H60" s="105"/>
      <x:c r="I60" s="105"/>
      <x:c r="J60" s="105"/>
      <x:c r="K60" s="105"/>
      <x:c r="L60" s="105"/>
      <x:c r="M60" s="105"/>
      <x:c r="N60" s="105"/>
      <x:c r="O60" s="105"/>
      <x:c r="P60" s="105"/>
      <x:c r="Q60" s="105"/>
      <x:c r="R60" s="105"/>
      <x:c r="S60" s="105"/>
      <x:c r="T60" s="105"/>
      <x:c r="U60" s="105"/>
    </x:row>
    <x:row r="61">
      <x:c r="A61" s="105"/>
      <x:c r="B61" s="105"/>
      <x:c r="C61" s="105"/>
      <x:c r="D61" s="105"/>
      <x:c r="E61" s="105"/>
      <x:c r="F61" s="105"/>
      <x:c r="G61" s="105"/>
      <x:c r="H61" s="105"/>
      <x:c r="I61" s="105"/>
      <x:c r="J61" s="105"/>
      <x:c r="K61" s="105"/>
      <x:c r="L61" s="105"/>
      <x:c r="M61" s="105"/>
      <x:c r="N61" s="105"/>
      <x:c r="O61" s="105"/>
      <x:c r="P61" s="105"/>
      <x:c r="Q61" s="105"/>
      <x:c r="R61" s="105"/>
      <x:c r="S61" s="105"/>
      <x:c r="T61" s="105"/>
      <x:c r="U61" s="105"/>
    </x:row>
    <x:row r="62">
      <x:c r="A62" s="105"/>
      <x:c r="B62" s="105"/>
      <x:c r="C62" s="105"/>
      <x:c r="D62" s="105"/>
      <x:c r="E62" s="105"/>
      <x:c r="F62" s="105"/>
      <x:c r="G62" s="105"/>
      <x:c r="H62" s="105"/>
      <x:c r="I62" s="105"/>
      <x:c r="J62" s="105"/>
      <x:c r="K62" s="105"/>
      <x:c r="L62" s="105"/>
      <x:c r="M62" s="105"/>
      <x:c r="N62" s="105"/>
      <x:c r="O62" s="105"/>
      <x:c r="P62" s="105"/>
      <x:c r="Q62" s="105"/>
      <x:c r="R62" s="105"/>
      <x:c r="S62" s="105"/>
      <x:c r="T62" s="105"/>
      <x:c r="U62" s="105"/>
    </x:row>
    <x:row r="63">
      <x:c r="A63" s="105"/>
      <x:c r="B63" s="105"/>
      <x:c r="C63" s="105"/>
      <x:c r="D63" s="105"/>
      <x:c r="E63" s="105"/>
      <x:c r="F63" s="105"/>
      <x:c r="G63" s="105"/>
      <x:c r="H63" s="105"/>
      <x:c r="I63" s="105"/>
      <x:c r="J63" s="105"/>
      <x:c r="K63" s="105"/>
      <x:c r="L63" s="105"/>
      <x:c r="M63" s="105"/>
      <x:c r="N63" s="105"/>
      <x:c r="O63" s="105"/>
      <x:c r="P63" s="105"/>
      <x:c r="Q63" s="105"/>
      <x:c r="R63" s="105"/>
      <x:c r="S63" s="105"/>
      <x:c r="T63" s="105"/>
      <x:c r="U63" s="105"/>
    </x:row>
    <x:row r="64">
      <x:c r="A64" s="105"/>
      <x:c r="B64" s="105"/>
      <x:c r="C64" s="105"/>
      <x:c r="D64" s="105"/>
      <x:c r="E64" s="105"/>
      <x:c r="F64" s="105"/>
      <x:c r="G64" s="105"/>
      <x:c r="H64" s="105"/>
      <x:c r="I64" s="105"/>
      <x:c r="J64" s="105"/>
      <x:c r="K64" s="105"/>
      <x:c r="L64" s="105"/>
      <x:c r="M64" s="105"/>
      <x:c r="N64" s="105"/>
      <x:c r="O64" s="105"/>
      <x:c r="P64" s="105"/>
      <x:c r="Q64" s="105"/>
      <x:c r="R64" s="105"/>
      <x:c r="S64" s="105"/>
      <x:c r="T64" s="105"/>
      <x:c r="U64" s="105"/>
    </x:row>
    <x:row r="65">
      <x:c r="A65" s="105"/>
      <x:c r="B65" s="105"/>
      <x:c r="C65" s="105"/>
      <x:c r="D65" s="105"/>
      <x:c r="E65" s="105"/>
      <x:c r="F65" s="105"/>
      <x:c r="G65" s="105"/>
      <x:c r="H65" s="105"/>
      <x:c r="I65" s="105"/>
      <x:c r="J65" s="105"/>
      <x:c r="K65" s="105"/>
      <x:c r="L65" s="105"/>
      <x:c r="M65" s="105"/>
      <x:c r="N65" s="105"/>
      <x:c r="O65" s="105"/>
      <x:c r="P65" s="105"/>
      <x:c r="Q65" s="105"/>
      <x:c r="R65" s="105"/>
      <x:c r="S65" s="105"/>
      <x:c r="T65" s="105"/>
      <x:c r="U65" s="105"/>
    </x:row>
    <x:row r="66">
      <x:c r="A66" s="105"/>
      <x:c r="B66" s="105"/>
      <x:c r="C66" s="105"/>
      <x:c r="D66" s="105"/>
      <x:c r="E66" s="105"/>
      <x:c r="F66" s="105"/>
      <x:c r="G66" s="105"/>
      <x:c r="H66" s="105"/>
      <x:c r="I66" s="105"/>
      <x:c r="J66" s="105"/>
      <x:c r="K66" s="105"/>
      <x:c r="L66" s="105"/>
      <x:c r="M66" s="105"/>
      <x:c r="N66" s="105"/>
      <x:c r="O66" s="105"/>
      <x:c r="P66" s="105"/>
      <x:c r="Q66" s="105"/>
      <x:c r="R66" s="105"/>
      <x:c r="S66" s="105"/>
      <x:c r="T66" s="105"/>
      <x:c r="U66" s="105"/>
    </x:row>
    <x:row r="67">
      <x:c r="A67" s="105"/>
      <x:c r="B67" s="105"/>
      <x:c r="C67" s="105"/>
      <x:c r="D67" s="105"/>
      <x:c r="E67" s="105"/>
      <x:c r="F67" s="105"/>
      <x:c r="G67" s="105"/>
      <x:c r="H67" s="105"/>
      <x:c r="I67" s="105"/>
      <x:c r="J67" s="105"/>
      <x:c r="K67" s="105"/>
      <x:c r="L67" s="105"/>
      <x:c r="M67" s="105"/>
      <x:c r="N67" s="105"/>
      <x:c r="O67" s="105"/>
      <x:c r="P67" s="105"/>
      <x:c r="Q67" s="105"/>
      <x:c r="R67" s="105"/>
      <x:c r="S67" s="105"/>
      <x:c r="T67" s="105"/>
      <x:c r="U67" s="105"/>
    </x:row>
    <x:row r="68">
      <x:c r="A68" s="105"/>
      <x:c r="B68" s="105"/>
      <x:c r="C68" s="105"/>
      <x:c r="D68" s="105"/>
      <x:c r="E68" s="105"/>
      <x:c r="F68" s="105"/>
      <x:c r="G68" s="105"/>
      <x:c r="H68" s="105"/>
      <x:c r="I68" s="105"/>
      <x:c r="J68" s="105"/>
      <x:c r="K68" s="105"/>
      <x:c r="L68" s="105"/>
      <x:c r="M68" s="105"/>
      <x:c r="N68" s="105"/>
      <x:c r="O68" s="105"/>
      <x:c r="P68" s="105"/>
      <x:c r="Q68" s="105"/>
      <x:c r="R68" s="105"/>
      <x:c r="S68" s="105"/>
      <x:c r="T68" s="105"/>
      <x:c r="U68" s="105"/>
    </x:row>
    <x:row r="69">
      <x:c r="A69" s="105"/>
      <x:c r="B69" s="105"/>
      <x:c r="C69" s="105"/>
      <x:c r="D69" s="105"/>
      <x:c r="E69" s="105"/>
      <x:c r="F69" s="105"/>
      <x:c r="G69" s="105"/>
      <x:c r="H69" s="105"/>
      <x:c r="I69" s="105"/>
      <x:c r="J69" s="105"/>
      <x:c r="K69" s="105"/>
      <x:c r="L69" s="105"/>
      <x:c r="M69" s="105"/>
      <x:c r="N69" s="105"/>
      <x:c r="O69" s="105"/>
      <x:c r="P69" s="105"/>
      <x:c r="Q69" s="105"/>
      <x:c r="R69" s="105"/>
      <x:c r="S69" s="105"/>
      <x:c r="T69" s="105"/>
      <x:c r="U69" s="105"/>
    </x:row>
    <x:row r="70">
      <x:c r="A70" s="105"/>
      <x:c r="B70" s="105"/>
      <x:c r="C70" s="105"/>
      <x:c r="D70" s="105"/>
      <x:c r="E70" s="105"/>
      <x:c r="F70" s="105"/>
      <x:c r="G70" s="105"/>
      <x:c r="H70" s="105"/>
      <x:c r="I70" s="105"/>
      <x:c r="J70" s="105"/>
      <x:c r="K70" s="105"/>
      <x:c r="L70" s="105"/>
      <x:c r="M70" s="105"/>
      <x:c r="N70" s="105"/>
      <x:c r="O70" s="105"/>
      <x:c r="P70" s="105"/>
      <x:c r="Q70" s="105"/>
      <x:c r="R70" s="105"/>
      <x:c r="S70" s="105"/>
      <x:c r="T70" s="105"/>
      <x:c r="U70" s="105"/>
    </x:row>
    <x:row r="71">
      <x:c r="A71" s="105"/>
      <x:c r="B71" s="105"/>
      <x:c r="C71" s="105"/>
      <x:c r="D71" s="105"/>
      <x:c r="E71" s="105"/>
      <x:c r="F71" s="105"/>
      <x:c r="G71" s="105"/>
      <x:c r="H71" s="105"/>
      <x:c r="I71" s="105"/>
      <x:c r="J71" s="105"/>
      <x:c r="K71" s="105"/>
      <x:c r="L71" s="105"/>
      <x:c r="M71" s="105"/>
      <x:c r="N71" s="105"/>
      <x:c r="O71" s="105"/>
      <x:c r="P71" s="105"/>
      <x:c r="Q71" s="105"/>
      <x:c r="R71" s="105"/>
      <x:c r="S71" s="105"/>
      <x:c r="T71" s="105"/>
      <x:c r="U71" s="105"/>
    </x:row>
    <x:row r="72">
      <x:c r="A72" s="105"/>
      <x:c r="B72" s="105"/>
      <x:c r="C72" s="105"/>
      <x:c r="D72" s="105"/>
      <x:c r="E72" s="105"/>
      <x:c r="F72" s="105"/>
      <x:c r="G72" s="105"/>
      <x:c r="H72" s="105"/>
      <x:c r="I72" s="105"/>
      <x:c r="J72" s="105"/>
      <x:c r="K72" s="105"/>
      <x:c r="L72" s="105"/>
      <x:c r="M72" s="105"/>
      <x:c r="N72" s="105"/>
      <x:c r="O72" s="105"/>
      <x:c r="P72" s="105"/>
      <x:c r="Q72" s="105"/>
      <x:c r="R72" s="105"/>
      <x:c r="S72" s="105"/>
      <x:c r="T72" s="105"/>
      <x:c r="U72" s="105"/>
    </x:row>
    <x:row r="73">
      <x:c r="A73" s="105"/>
      <x:c r="B73" s="105"/>
      <x:c r="C73" s="105"/>
      <x:c r="D73" s="105"/>
      <x:c r="E73" s="105"/>
      <x:c r="F73" s="105"/>
      <x:c r="G73" s="105"/>
      <x:c r="H73" s="105"/>
      <x:c r="I73" s="105"/>
      <x:c r="J73" s="105"/>
      <x:c r="K73" s="105"/>
      <x:c r="L73" s="105"/>
      <x:c r="M73" s="105"/>
      <x:c r="N73" s="105"/>
      <x:c r="O73" s="105"/>
      <x:c r="P73" s="105"/>
      <x:c r="Q73" s="105"/>
      <x:c r="R73" s="105"/>
      <x:c r="S73" s="105"/>
      <x:c r="T73" s="105"/>
      <x:c r="U73" s="105"/>
    </x:row>
    <x:row r="74">
      <x:c r="A74" s="105"/>
      <x:c r="B74" s="105"/>
      <x:c r="C74" s="105"/>
      <x:c r="D74" s="105"/>
      <x:c r="E74" s="105"/>
      <x:c r="F74" s="105"/>
      <x:c r="G74" s="105"/>
      <x:c r="H74" s="105"/>
      <x:c r="I74" s="105"/>
      <x:c r="J74" s="105"/>
      <x:c r="K74" s="105"/>
      <x:c r="L74" s="105"/>
      <x:c r="M74" s="105"/>
      <x:c r="N74" s="105"/>
      <x:c r="O74" s="105"/>
      <x:c r="P74" s="105"/>
      <x:c r="Q74" s="105"/>
      <x:c r="R74" s="105"/>
      <x:c r="S74" s="105"/>
      <x:c r="T74" s="105"/>
      <x:c r="U74" s="105"/>
    </x:row>
    <x:row r="75">
      <x:c r="A75" s="105"/>
      <x:c r="B75" s="105"/>
      <x:c r="C75" s="105"/>
      <x:c r="D75" s="105"/>
      <x:c r="E75" s="105"/>
      <x:c r="F75" s="105"/>
      <x:c r="G75" s="105"/>
      <x:c r="H75" s="105"/>
      <x:c r="I75" s="105"/>
      <x:c r="J75" s="105"/>
      <x:c r="K75" s="105"/>
      <x:c r="L75" s="105"/>
      <x:c r="M75" s="105"/>
      <x:c r="N75" s="105"/>
      <x:c r="O75" s="105"/>
      <x:c r="P75" s="105"/>
      <x:c r="Q75" s="105"/>
      <x:c r="R75" s="105"/>
      <x:c r="S75" s="105"/>
      <x:c r="T75" s="105"/>
      <x:c r="U75" s="105"/>
    </x:row>
    <x:row r="76">
      <x:c r="A76" s="105"/>
      <x:c r="B76" s="105"/>
      <x:c r="C76" s="105"/>
      <x:c r="D76" s="105"/>
      <x:c r="E76" s="105"/>
      <x:c r="F76" s="105"/>
      <x:c r="G76" s="105"/>
      <x:c r="H76" s="105"/>
      <x:c r="I76" s="105"/>
      <x:c r="J76" s="105"/>
      <x:c r="K76" s="105"/>
      <x:c r="L76" s="105"/>
      <x:c r="M76" s="105"/>
      <x:c r="N76" s="105"/>
      <x:c r="O76" s="105"/>
      <x:c r="P76" s="105"/>
      <x:c r="Q76" s="105"/>
      <x:c r="R76" s="105"/>
      <x:c r="S76" s="105"/>
      <x:c r="T76" s="105"/>
      <x:c r="U76" s="105"/>
    </x:row>
    <x:row r="77">
      <x:c r="A77" s="105"/>
      <x:c r="B77" s="105"/>
      <x:c r="C77" s="105"/>
      <x:c r="D77" s="105"/>
      <x:c r="E77" s="105"/>
      <x:c r="F77" s="105"/>
      <x:c r="G77" s="105"/>
      <x:c r="H77" s="105"/>
      <x:c r="I77" s="105"/>
      <x:c r="J77" s="105"/>
      <x:c r="K77" s="105"/>
      <x:c r="L77" s="105"/>
      <x:c r="M77" s="105"/>
      <x:c r="N77" s="105"/>
      <x:c r="O77" s="105"/>
      <x:c r="P77" s="105"/>
      <x:c r="Q77" s="105"/>
      <x:c r="R77" s="105"/>
      <x:c r="S77" s="105"/>
      <x:c r="T77" s="105"/>
      <x:c r="U77" s="105"/>
    </x:row>
    <x:row r="78">
      <x:c r="A78" s="105"/>
      <x:c r="B78" s="105"/>
      <x:c r="C78" s="105"/>
      <x:c r="D78" s="105"/>
      <x:c r="E78" s="105"/>
      <x:c r="F78" s="105"/>
      <x:c r="G78" s="105"/>
      <x:c r="H78" s="105"/>
      <x:c r="I78" s="105"/>
      <x:c r="J78" s="105"/>
      <x:c r="K78" s="105"/>
      <x:c r="L78" s="105"/>
      <x:c r="M78" s="105"/>
      <x:c r="N78" s="105"/>
      <x:c r="O78" s="105"/>
      <x:c r="P78" s="105"/>
      <x:c r="Q78" s="105"/>
      <x:c r="R78" s="105"/>
      <x:c r="S78" s="105"/>
      <x:c r="T78" s="105"/>
      <x:c r="U78" s="105"/>
    </x:row>
    <x:row r="79">
      <x:c r="A79" s="105"/>
      <x:c r="B79" s="105"/>
      <x:c r="C79" s="105"/>
      <x:c r="D79" s="105"/>
      <x:c r="E79" s="105"/>
      <x:c r="F79" s="105"/>
      <x:c r="G79" s="105"/>
      <x:c r="H79" s="105"/>
      <x:c r="I79" s="105"/>
      <x:c r="J79" s="105"/>
      <x:c r="K79" s="105"/>
      <x:c r="L79" s="105"/>
      <x:c r="M79" s="105"/>
      <x:c r="N79" s="105"/>
      <x:c r="O79" s="105"/>
      <x:c r="P79" s="105"/>
      <x:c r="Q79" s="105"/>
      <x:c r="R79" s="105"/>
      <x:c r="S79" s="105"/>
      <x:c r="T79" s="105"/>
      <x:c r="U79" s="105"/>
    </x:row>
    <x:row r="80">
      <x:c r="A80" s="105"/>
      <x:c r="B80" s="105"/>
      <x:c r="C80" s="105"/>
      <x:c r="D80" s="105"/>
      <x:c r="E80" s="105"/>
      <x:c r="F80" s="105"/>
      <x:c r="G80" s="105"/>
      <x:c r="H80" s="105"/>
      <x:c r="I80" s="105"/>
      <x:c r="J80" s="105"/>
      <x:c r="K80" s="105"/>
      <x:c r="L80" s="105"/>
      <x:c r="M80" s="105"/>
      <x:c r="N80" s="105"/>
      <x:c r="O80" s="105"/>
      <x:c r="P80" s="105"/>
      <x:c r="Q80" s="105"/>
      <x:c r="R80" s="105"/>
      <x:c r="S80" s="105"/>
      <x:c r="T80" s="105"/>
      <x:c r="U80" s="105"/>
    </x:row>
  </x:sheetData>
  <x:conditionalFormatting sqref="H2:H25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{C94C7D7B-5A4B-49BF-67BC-DA1FD14868B3}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94C7D7B-5A4B-49BF-67BC-DA1FD14868B3}">
            <x14:dataBar gradient="1">
              <x14:cfvo type="min"/>
              <x14:cfvo type="max"/>
              <x14:fillColor rgb="FFA02B93"/>
            </x14:dataBar>
          </x14:cfRule>
          <xm:sqref>H2:H25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44" hidden="0" customWidth="1"/>
    <x:col min="15" max="15" width="34" hidden="0" customWidth="1"/>
  </x:cols>
  <x:sheetData>
    <x:row r="1">
      <x:c r="A1" s="140" t="str">
        <x:v>Acquisition Order</x:v>
      </x:c>
      <x:c r="B1" s="140" t="str">
        <x:v>Parcel ID</x:v>
      </x:c>
      <x:c r="C1" s="140" t="str">
        <x:v>Current Map Label</x:v>
      </x:c>
      <x:c r="D1" s="140" t="str">
        <x:v>Land Grade</x:v>
      </x:c>
      <x:c r="E1" s="140" t="str">
        <x:v>Acquisition Method</x:v>
      </x:c>
      <x:c r="F1" s="140" t="str">
        <x:v>Required Empire Level</x:v>
      </x:c>
      <x:c r="G1" s="140" t="str">
        <x:v>Capacity Check Level</x:v>
      </x:c>
      <x:c r="H1" s="140" t="str">
        <x:v>Expected Net Cash / Day at Unlock</x:v>
      </x:c>
      <x:c r="I1" s="140" t="str">
        <x:v>Target Days to Afford</x:v>
      </x:c>
      <x:c r="J1" s="140" t="str">
        <x:v>Savings Allocation</x:v>
      </x:c>
      <x:c r="K1" s="140" t="str">
        <x:v>Location Price Mult</x:v>
      </x:c>
      <x:c r="L1" s="140" t="str">
        <x:v>Final Unlock Cost</x:v>
      </x:c>
      <x:c r="M1" s="140" t="str">
        <x:v>Effective Days to Afford</x:v>
      </x:c>
      <x:c r="N1" s="140" t="str">
        <x:v>Frontier / Connectivity Rule</x:v>
      </x:c>
      <x:c r="O1" s="140" t="str">
        <x:v>Balance Note</x:v>
      </x:c>
      <x:c r="P1" s="105"/>
      <x:c r="Q1" s="105"/>
      <x:c r="R1" s="105"/>
      <x:c r="S1" s="105"/>
      <x:c r="T1" s="105"/>
      <x:c r="U1" s="105"/>
    </x:row>
    <x:row r="2">
      <x:c r="A2" s="107" t="n">
        <x:v>1</x:v>
      </x:c>
      <x:c r="B2" s="107" t="str">
        <x:v>D05</x:v>
      </x:c>
      <x:c r="C2" s="107" t="n">
        <x:v>35</x:v>
      </x:c>
      <x:c r="D2" s="174" t="str">
        <x:f>VLOOKUP(B2,'Hex Balance'!$A$2:$U$36,15,FALSE)</x:f>
        <x:v>Entry</x:v>
      </x:c>
      <x:c r="E2" s="174" t="str">
        <x:v>Starter Grant</x:v>
      </x:c>
      <x:c r="F2" s="174" t="n">
        <x:f>MAX(1,VLOOKUP(B2,'Hex Balance'!$A$2:$U$36,20,FALSE))</x:f>
        <x:v>1</x:v>
      </x:c>
      <x:c r="G2" s="174" t="n">
        <x:v>1</x:v>
      </x:c>
      <x:c r="H2" s="149" t="n">
        <x:f>VLOOKUP(F2,'Cash Flow Model'!$A$2:$H$25,8,FALSE)</x:f>
        <x:v>25.650000000000002</x:v>
      </x:c>
      <x:c r="I2" s="188" t="n">
        <x:v>0</x:v>
      </x:c>
      <x:c r="J2" s="189" t="n">
        <x:f>Assumptions!$B$4</x:f>
        <x:v>0.7</x:v>
      </x:c>
      <x:c r="K2" s="175" t="n">
        <x:f>0.90+(VLOOKUP(B2,'Hex Balance'!$A$2:$U$36,14,FALSE)/100)*0.35</x:f>
        <x:v>1.0735999999999999</x:v>
      </x:c>
      <x:c r="L2" s="149" t="n">
        <x:f>IF(OR(E2="Starter Grant",E2="Frontier Deed"),0,ROUND(H2*I2*J2*K2/Assumptions!$B$15,0)*Assumptions!$B$15)</x:f>
        <x:v>0</x:v>
      </x:c>
      <x:c r="M2" s="173" t="n">
        <x:f>IF(L2=0,0,L2/(H2*J2))</x:f>
        <x:v>0</x:v>
      </x:c>
      <x:c r="N2" s="107" t="str">
        <x:v>Must border an owned parcel; rare Trophy level gate may also apply.</x:v>
      </x:c>
      <x:c r="O2" s="107" t="str">
        <x:v>Onboarding land grant</x:v>
      </x:c>
      <x:c r="P2" s="105"/>
      <x:c r="Q2" s="105"/>
      <x:c r="R2" s="105"/>
      <x:c r="S2" s="105"/>
      <x:c r="T2" s="105"/>
      <x:c r="U2" s="105"/>
    </x:row>
    <x:row r="3">
      <x:c r="A3" s="107" t="n">
        <x:v>2</x:v>
      </x:c>
      <x:c r="B3" s="107" t="str">
        <x:v>D01</x:v>
      </x:c>
      <x:c r="C3" s="107" t="n">
        <x:v>2</x:v>
      </x:c>
      <x:c r="D3" s="174" t="str">
        <x:f>VLOOKUP(B3,'Hex Balance'!$A$2:$U$36,15,FALSE)</x:f>
        <x:v>Entry</x:v>
      </x:c>
      <x:c r="E3" s="174" t="str">
        <x:v>Frontier Deed</x:v>
      </x:c>
      <x:c r="F3" s="174" t="n">
        <x:f>MAX(2,VLOOKUP(B3,'Hex Balance'!$A$2:$U$36,20,FALSE))</x:f>
        <x:v>2</x:v>
      </x:c>
      <x:c r="G3" s="174" t="n">
        <x:v>2</x:v>
      </x:c>
      <x:c r="H3" s="149" t="n">
        <x:f>VLOOKUP(F3,'Cash Flow Model'!$A$2:$H$25,8,FALSE)</x:f>
        <x:v>70.2</x:v>
      </x:c>
      <x:c r="I3" s="188" t="n">
        <x:v>0</x:v>
      </x:c>
      <x:c r="J3" s="189" t="n">
        <x:f>Assumptions!$B$4</x:f>
        <x:v>0.7</x:v>
      </x:c>
      <x:c r="K3" s="175" t="n">
        <x:f>0.90+(VLOOKUP(B3,'Hex Balance'!$A$2:$U$36,14,FALSE)/100)*0.35</x:f>
        <x:v>1.0778</x:v>
      </x:c>
      <x:c r="L3" s="149" t="n">
        <x:f>IF(OR(E3="Starter Grant",E3="Frontier Deed"),0,ROUND(H3*I3*J3*K3/Assumptions!$B$15,0)*Assumptions!$B$15)</x:f>
        <x:v>0</x:v>
      </x:c>
      <x:c r="M3" s="173" t="n">
        <x:f>IF(L3=0,0,L3/(H3*J3))</x:f>
        <x:v>0</x:v>
      </x:c>
      <x:c r="N3" s="107" t="str">
        <x:v>Must border an owned parcel; rare Trophy level gate may also apply.</x:v>
      </x:c>
      <x:c r="O3" s="107" t="str">
        <x:v>Onboarding land grant</x:v>
      </x:c>
      <x:c r="P3" s="105"/>
      <x:c r="Q3" s="105"/>
      <x:c r="R3" s="105"/>
      <x:c r="S3" s="105"/>
      <x:c r="T3" s="105"/>
      <x:c r="U3" s="105"/>
    </x:row>
    <x:row r="4">
      <x:c r="A4" s="107" t="n">
        <x:v>3</x:v>
      </x:c>
      <x:c r="B4" s="107" t="str">
        <x:v>C07</x:v>
      </x:c>
      <x:c r="C4" s="107" t="n">
        <x:v>24</x:v>
      </x:c>
      <x:c r="D4" s="174" t="str">
        <x:f>VLOOKUP(B4,'Hex Balance'!$A$2:$U$36,15,FALSE)</x:f>
        <x:v>Entry</x:v>
      </x:c>
      <x:c r="E4" s="174" t="str">
        <x:v>Frontier Deed</x:v>
      </x:c>
      <x:c r="F4" s="174" t="n">
        <x:f>MAX(3,VLOOKUP(B4,'Hex Balance'!$A$2:$U$36,20,FALSE))</x:f>
        <x:v>3</x:v>
      </x:c>
      <x:c r="G4" s="174" t="n">
        <x:v>3</x:v>
      </x:c>
      <x:c r="H4" s="149" t="n">
        <x:f>VLOOKUP(F4,'Cash Flow Model'!$A$2:$H$25,8,FALSE)</x:f>
        <x:v>240.57000000000002</x:v>
      </x:c>
      <x:c r="I4" s="188" t="n">
        <x:v>0</x:v>
      </x:c>
      <x:c r="J4" s="189" t="n">
        <x:f>Assumptions!$B$4</x:f>
        <x:v>0.7</x:v>
      </x:c>
      <x:c r="K4" s="175" t="n">
        <x:f>0.90+(VLOOKUP(B4,'Hex Balance'!$A$2:$U$36,14,FALSE)/100)*0.35</x:f>
        <x:v>1.0785</x:v>
      </x:c>
      <x:c r="L4" s="149" t="n">
        <x:f>IF(OR(E4="Starter Grant",E4="Frontier Deed"),0,ROUND(H4*I4*J4*K4/Assumptions!$B$15,0)*Assumptions!$B$15)</x:f>
        <x:v>0</x:v>
      </x:c>
      <x:c r="M4" s="173" t="n">
        <x:f>IF(L4=0,0,L4/(H4*J4))</x:f>
        <x:v>0</x:v>
      </x:c>
      <x:c r="N4" s="107" t="str">
        <x:v>Must border an owned parcel; rare Trophy level gate may also apply.</x:v>
      </x:c>
      <x:c r="O4" s="107" t="str">
        <x:v>Onboarding land grant</x:v>
      </x:c>
      <x:c r="P4" s="105"/>
      <x:c r="Q4" s="105"/>
      <x:c r="R4" s="105"/>
      <x:c r="S4" s="105"/>
      <x:c r="T4" s="105"/>
      <x:c r="U4" s="105"/>
    </x:row>
    <x:row r="5">
      <x:c r="A5" s="107" t="n">
        <x:v>4</x:v>
      </x:c>
      <x:c r="B5" s="107" t="str">
        <x:v>D03</x:v>
      </x:c>
      <x:c r="C5" s="107" t="n">
        <x:v>31</x:v>
      </x:c>
      <x:c r="D5" s="174" t="str">
        <x:f>VLOOKUP(B5,'Hex Balance'!$A$2:$U$36,15,FALSE)</x:f>
        <x:v>Entry</x:v>
      </x:c>
      <x:c r="E5" s="174" t="str">
        <x:v>Frontier Deed</x:v>
      </x:c>
      <x:c r="F5" s="174" t="n">
        <x:f>MAX(3,VLOOKUP(B5,'Hex Balance'!$A$2:$U$36,20,FALSE))</x:f>
        <x:v>3</x:v>
      </x:c>
      <x:c r="G5" s="174" t="n">
        <x:v>3</x:v>
      </x:c>
      <x:c r="H5" s="149" t="n">
        <x:f>VLOOKUP(F5,'Cash Flow Model'!$A$2:$H$25,8,FALSE)</x:f>
        <x:v>240.57000000000002</x:v>
      </x:c>
      <x:c r="I5" s="188" t="n">
        <x:v>0</x:v>
      </x:c>
      <x:c r="J5" s="189" t="n">
        <x:f>Assumptions!$B$4</x:f>
        <x:v>0.7</x:v>
      </x:c>
      <x:c r="K5" s="175" t="n">
        <x:f>0.90+(VLOOKUP(B5,'Hex Balance'!$A$2:$U$36,14,FALSE)/100)*0.35</x:f>
        <x:v>1.08165</x:v>
      </x:c>
      <x:c r="L5" s="149" t="n">
        <x:f>IF(OR(E5="Starter Grant",E5="Frontier Deed"),0,ROUND(H5*I5*J5*K5/Assumptions!$B$15,0)*Assumptions!$B$15)</x:f>
        <x:v>0</x:v>
      </x:c>
      <x:c r="M5" s="173" t="n">
        <x:f>IF(L5=0,0,L5/(H5*J5))</x:f>
        <x:v>0</x:v>
      </x:c>
      <x:c r="N5" s="107" t="str">
        <x:v>Must border an owned parcel; rare Trophy level gate may also apply.</x:v>
      </x:c>
      <x:c r="O5" s="107" t="str">
        <x:v>Onboarding land grant</x:v>
      </x:c>
      <x:c r="P5" s="105"/>
      <x:c r="Q5" s="105"/>
      <x:c r="R5" s="105"/>
      <x:c r="S5" s="105"/>
      <x:c r="T5" s="105"/>
      <x:c r="U5" s="105"/>
    </x:row>
    <x:row r="6">
      <x:c r="A6" s="107" t="n">
        <x:v>5</x:v>
      </x:c>
      <x:c r="B6" s="107" t="str">
        <x:v>C08</x:v>
      </x:c>
      <x:c r="C6" s="107" t="n">
        <x:v>28</x:v>
      </x:c>
      <x:c r="D6" s="174" t="str">
        <x:f>VLOOKUP(B6,'Hex Balance'!$A$2:$U$36,15,FALSE)</x:f>
        <x:v>Entry</x:v>
      </x:c>
      <x:c r="E6" s="174" t="str">
        <x:v>Frontier Deed</x:v>
      </x:c>
      <x:c r="F6" s="174" t="n">
        <x:f>MAX(4,VLOOKUP(B6,'Hex Balance'!$A$2:$U$36,20,FALSE))</x:f>
        <x:v>4</x:v>
      </x:c>
      <x:c r="G6" s="174" t="n">
        <x:v>4</x:v>
      </x:c>
      <x:c r="H6" s="149" t="n">
        <x:f>VLOOKUP(F6,'Cash Flow Model'!$A$2:$H$25,8,FALSE)</x:f>
        <x:v>549.1800000000001</x:v>
      </x:c>
      <x:c r="I6" s="188" t="n">
        <x:v>0</x:v>
      </x:c>
      <x:c r="J6" s="189" t="n">
        <x:f>Assumptions!$B$4</x:f>
        <x:v>0.7</x:v>
      </x:c>
      <x:c r="K6" s="175" t="n">
        <x:f>0.90+(VLOOKUP(B6,'Hex Balance'!$A$2:$U$36,14,FALSE)/100)*0.35</x:f>
        <x:v>1.08655</x:v>
      </x:c>
      <x:c r="L6" s="149" t="n">
        <x:f>IF(OR(E6="Starter Grant",E6="Frontier Deed"),0,ROUND(H6*I6*J6*K6/Assumptions!$B$15,0)*Assumptions!$B$15)</x:f>
        <x:v>0</x:v>
      </x:c>
      <x:c r="M6" s="173" t="n">
        <x:f>IF(L6=0,0,L6/(H6*J6))</x:f>
        <x:v>0</x:v>
      </x:c>
      <x:c r="N6" s="107" t="str">
        <x:v>Must border an owned parcel; rare Trophy level gate may also apply.</x:v>
      </x:c>
      <x:c r="O6" s="107" t="str">
        <x:v>Onboarding land grant</x:v>
      </x:c>
      <x:c r="P6" s="105"/>
      <x:c r="Q6" s="105"/>
      <x:c r="R6" s="105"/>
      <x:c r="S6" s="105"/>
      <x:c r="T6" s="105"/>
      <x:c r="U6" s="105"/>
    </x:row>
    <x:row r="7">
      <x:c r="A7" s="107" t="n">
        <x:v>6</x:v>
      </x:c>
      <x:c r="B7" s="107" t="str">
        <x:v>D04</x:v>
      </x:c>
      <x:c r="C7" s="107" t="n">
        <x:v>33</x:v>
      </x:c>
      <x:c r="D7" s="174" t="str">
        <x:f>VLOOKUP(B7,'Hex Balance'!$A$2:$U$36,15,FALSE)</x:f>
        <x:v>Entry</x:v>
      </x:c>
      <x:c r="E7" s="174" t="str">
        <x:v>Frontier Deed</x:v>
      </x:c>
      <x:c r="F7" s="174" t="n">
        <x:f>MAX(4,VLOOKUP(B7,'Hex Balance'!$A$2:$U$36,20,FALSE))</x:f>
        <x:v>4</x:v>
      </x:c>
      <x:c r="G7" s="174" t="n">
        <x:v>4</x:v>
      </x:c>
      <x:c r="H7" s="149" t="n">
        <x:f>VLOOKUP(F7,'Cash Flow Model'!$A$2:$H$25,8,FALSE)</x:f>
        <x:v>549.1800000000001</x:v>
      </x:c>
      <x:c r="I7" s="188" t="n">
        <x:v>0</x:v>
      </x:c>
      <x:c r="J7" s="189" t="n">
        <x:f>Assumptions!$B$4</x:f>
        <x:v>0.7</x:v>
      </x:c>
      <x:c r="K7" s="175" t="n">
        <x:f>0.90+(VLOOKUP(B7,'Hex Balance'!$A$2:$U$36,14,FALSE)/100)*0.35</x:f>
        <x:v>1.0904</x:v>
      </x:c>
      <x:c r="L7" s="149" t="n">
        <x:f>IF(OR(E7="Starter Grant",E7="Frontier Deed"),0,ROUND(H7*I7*J7*K7/Assumptions!$B$15,0)*Assumptions!$B$15)</x:f>
        <x:v>0</x:v>
      </x:c>
      <x:c r="M7" s="173" t="n">
        <x:f>IF(L7=0,0,L7/(H7*J7))</x:f>
        <x:v>0</x:v>
      </x:c>
      <x:c r="N7" s="107" t="str">
        <x:v>Must border an owned parcel; rare Trophy level gate may also apply.</x:v>
      </x:c>
      <x:c r="O7" s="107" t="str">
        <x:v>Onboarding land grant</x:v>
      </x:c>
      <x:c r="P7" s="105"/>
      <x:c r="Q7" s="105"/>
      <x:c r="R7" s="105"/>
      <x:c r="S7" s="105"/>
      <x:c r="T7" s="105"/>
      <x:c r="U7" s="105"/>
    </x:row>
    <x:row r="8">
      <x:c r="A8" s="107" t="n">
        <x:v>7</x:v>
      </x:c>
      <x:c r="B8" s="107" t="str">
        <x:v>D02</x:v>
      </x:c>
      <x:c r="C8" s="107" t="n">
        <x:v>5</x:v>
      </x:c>
      <x:c r="D8" s="174" t="str">
        <x:f>VLOOKUP(B8,'Hex Balance'!$A$2:$U$36,15,FALSE)</x:f>
        <x:v>Growth</x:v>
      </x:c>
      <x:c r="E8" s="174" t="str">
        <x:v>Cash Purchase</x:v>
      </x:c>
      <x:c r="F8" s="174" t="n">
        <x:f>MAX(5,VLOOKUP(B8,'Hex Balance'!$A$2:$U$36,20,FALSE))</x:f>
        <x:v>5</x:v>
      </x:c>
      <x:c r="G8" s="174" t="n">
        <x:v>5</x:v>
      </x:c>
      <x:c r="H8" s="149" t="n">
        <x:f>VLOOKUP(F8,'Cash Flow Model'!$A$2:$H$25,8,FALSE)</x:f>
        <x:v>652.0500000000001</x:v>
      </x:c>
      <x:c r="I8" s="188" t="n">
        <x:v>7</x:v>
      </x:c>
      <x:c r="J8" s="189" t="n">
        <x:f>Assumptions!$B$4</x:f>
        <x:v>0.7</x:v>
      </x:c>
      <x:c r="K8" s="175" t="n">
        <x:f>0.90+(VLOOKUP(B8,'Hex Balance'!$A$2:$U$36,14,FALSE)/100)*0.35</x:f>
        <x:v>1.0925</x:v>
      </x:c>
      <x:c r="L8" s="149" t="n">
        <x:f>IF(OR(E8="Starter Grant",E8="Frontier Deed"),0,ROUND(H8*I8*J8*K8/Assumptions!$B$15,0)*Assumptions!$B$15)</x:f>
        <x:v>3500</x:v>
      </x:c>
      <x:c r="M8" s="173" t="n">
        <x:f>IF(L8=0,0,L8/(H8*J8))</x:f>
        <x:v>7.668123610152596</x:v>
      </x:c>
      <x:c r="N8" s="107" t="str">
        <x:v>Must border an owned parcel; rare Trophy level gate may also apply.</x:v>
      </x:c>
      <x:c r="O8" s="107" t="str">
        <x:v>Derived from economy, not manually painted.</x:v>
      </x:c>
      <x:c r="P8" s="105"/>
      <x:c r="Q8" s="105"/>
      <x:c r="R8" s="105"/>
      <x:c r="S8" s="105"/>
      <x:c r="T8" s="105"/>
      <x:c r="U8" s="105"/>
    </x:row>
    <x:row r="9">
      <x:c r="A9" s="107" t="n">
        <x:v>8</x:v>
      </x:c>
      <x:c r="B9" s="107" t="str">
        <x:v>C05</x:v>
      </x:c>
      <x:c r="C9" s="107" t="n">
        <x:v>18</x:v>
      </x:c>
      <x:c r="D9" s="174" t="str">
        <x:f>VLOOKUP(B9,'Hex Balance'!$A$2:$U$36,15,FALSE)</x:f>
        <x:v>Growth</x:v>
      </x:c>
      <x:c r="E9" s="174" t="str">
        <x:v>Cash Purchase</x:v>
      </x:c>
      <x:c r="F9" s="174" t="n">
        <x:f>MAX(5,VLOOKUP(B9,'Hex Balance'!$A$2:$U$36,20,FALSE))</x:f>
        <x:v>5</x:v>
      </x:c>
      <x:c r="G9" s="174" t="n">
        <x:v>5</x:v>
      </x:c>
      <x:c r="H9" s="149" t="n">
        <x:f>VLOOKUP(F9,'Cash Flow Model'!$A$2:$H$25,8,FALSE)</x:f>
        <x:v>652.0500000000001</x:v>
      </x:c>
      <x:c r="I9" s="188" t="n">
        <x:v>7</x:v>
      </x:c>
      <x:c r="J9" s="189" t="n">
        <x:f>Assumptions!$B$4</x:f>
        <x:v>0.7</x:v>
      </x:c>
      <x:c r="K9" s="175" t="n">
        <x:f>0.90+(VLOOKUP(B9,'Hex Balance'!$A$2:$U$36,14,FALSE)/100)*0.35</x:f>
        <x:v>1.0932</x:v>
      </x:c>
      <x:c r="L9" s="149" t="n">
        <x:f>IF(OR(E9="Starter Grant",E9="Frontier Deed"),0,ROUND(H9*I9*J9*K9/Assumptions!$B$15,0)*Assumptions!$B$15)</x:f>
        <x:v>3500</x:v>
      </x:c>
      <x:c r="M9" s="173" t="n">
        <x:f>IF(L9=0,0,L9/(H9*J9))</x:f>
        <x:v>7.668123610152596</x:v>
      </x:c>
      <x:c r="N9" s="107" t="str">
        <x:v>Must border an owned parcel; rare Trophy level gate may also apply.</x:v>
      </x:c>
      <x:c r="O9" s="107" t="str">
        <x:v>Derived from economy, not manually painted.</x:v>
      </x:c>
      <x:c r="P9" s="105"/>
      <x:c r="Q9" s="105"/>
      <x:c r="R9" s="105"/>
      <x:c r="S9" s="105"/>
      <x:c r="T9" s="105"/>
      <x:c r="U9" s="105"/>
    </x:row>
    <x:row r="10">
      <x:c r="A10" s="107" t="n">
        <x:v>9</x:v>
      </x:c>
      <x:c r="B10" s="107" t="str">
        <x:v>C09</x:v>
      </x:c>
      <x:c r="C10" s="107" t="n">
        <x:v>32</x:v>
      </x:c>
      <x:c r="D10" s="174" t="str">
        <x:f>VLOOKUP(B10,'Hex Balance'!$A$2:$U$36,15,FALSE)</x:f>
        <x:v>Growth</x:v>
      </x:c>
      <x:c r="E10" s="174" t="str">
        <x:v>Cash Purchase</x:v>
      </x:c>
      <x:c r="F10" s="174" t="n">
        <x:f>MAX(6,VLOOKUP(B10,'Hex Balance'!$A$2:$U$36,20,FALSE))</x:f>
        <x:v>6</x:v>
      </x:c>
      <x:c r="G10" s="174" t="n">
        <x:v>6</x:v>
      </x:c>
      <x:c r="H10" s="149" t="n">
        <x:f>VLOOKUP(F10,'Cash Flow Model'!$A$2:$H$25,8,FALSE)</x:f>
        <x:v>1171.6650000000002</x:v>
      </x:c>
      <x:c r="I10" s="188" t="n">
        <x:v>7</x:v>
      </x:c>
      <x:c r="J10" s="189" t="n">
        <x:f>Assumptions!$B$4</x:f>
        <x:v>0.7</x:v>
      </x:c>
      <x:c r="K10" s="175" t="n">
        <x:f>0.90+(VLOOKUP(B10,'Hex Balance'!$A$2:$U$36,14,FALSE)/100)*0.35</x:f>
        <x:v>1.1086</x:v>
      </x:c>
      <x:c r="L10" s="149" t="n">
        <x:f>IF(OR(E10="Starter Grant",E10="Frontier Deed"),0,ROUND(H10*I10*J10*K10/Assumptions!$B$15,0)*Assumptions!$B$15)</x:f>
        <x:v>6400</x:v>
      </x:c>
      <x:c r="M10" s="173" t="n">
        <x:f>IF(L10=0,0,L10/(H10*J10))</x:f>
        <x:v>7.803303113822758</x:v>
      </x:c>
      <x:c r="N10" s="107" t="str">
        <x:v>Must border an owned parcel; rare Trophy level gate may also apply.</x:v>
      </x:c>
      <x:c r="O10" s="107" t="str">
        <x:v>Derived from economy, not manually painted.</x:v>
      </x:c>
      <x:c r="P10" s="105"/>
      <x:c r="Q10" s="105"/>
      <x:c r="R10" s="105"/>
      <x:c r="S10" s="105"/>
      <x:c r="T10" s="105"/>
      <x:c r="U10" s="105"/>
    </x:row>
    <x:row r="11">
      <x:c r="A11" s="107" t="n">
        <x:v>10</x:v>
      </x:c>
      <x:c r="B11" s="107" t="str">
        <x:v>B09</x:v>
      </x:c>
      <x:c r="C11" s="107" t="n">
        <x:v>22</x:v>
      </x:c>
      <x:c r="D11" s="174" t="str">
        <x:f>VLOOKUP(B11,'Hex Balance'!$A$2:$U$36,15,FALSE)</x:f>
        <x:v>Growth</x:v>
      </x:c>
      <x:c r="E11" s="174" t="str">
        <x:v>Cash Purchase</x:v>
      </x:c>
      <x:c r="F11" s="174" t="n">
        <x:f>MAX(6,VLOOKUP(B11,'Hex Balance'!$A$2:$U$36,20,FALSE))</x:f>
        <x:v>6</x:v>
      </x:c>
      <x:c r="G11" s="174" t="n">
        <x:v>6</x:v>
      </x:c>
      <x:c r="H11" s="149" t="n">
        <x:f>VLOOKUP(F11,'Cash Flow Model'!$A$2:$H$25,8,FALSE)</x:f>
        <x:v>1171.6650000000002</x:v>
      </x:c>
      <x:c r="I11" s="188" t="n">
        <x:v>7</x:v>
      </x:c>
      <x:c r="J11" s="189" t="n">
        <x:f>Assumptions!$B$4</x:f>
        <x:v>0.7</x:v>
      </x:c>
      <x:c r="K11" s="175" t="n">
        <x:f>0.90+(VLOOKUP(B11,'Hex Balance'!$A$2:$U$36,14,FALSE)/100)*0.35</x:f>
        <x:v>1.11175</x:v>
      </x:c>
      <x:c r="L11" s="149" t="n">
        <x:f>IF(OR(E11="Starter Grant",E11="Frontier Deed"),0,ROUND(H11*I11*J11*K11/Assumptions!$B$15,0)*Assumptions!$B$15)</x:f>
        <x:v>6400</x:v>
      </x:c>
      <x:c r="M11" s="173" t="n">
        <x:f>IF(L11=0,0,L11/(H11*J11))</x:f>
        <x:v>7.803303113822758</x:v>
      </x:c>
      <x:c r="N11" s="107" t="str">
        <x:v>Must border an owned parcel; rare Trophy level gate may also apply.</x:v>
      </x:c>
      <x:c r="O11" s="107" t="str">
        <x:v>Derived from economy, not manually painted.</x:v>
      </x:c>
      <x:c r="P11" s="105"/>
      <x:c r="Q11" s="105"/>
      <x:c r="R11" s="105"/>
      <x:c r="S11" s="105"/>
      <x:c r="T11" s="105"/>
      <x:c r="U11" s="105"/>
    </x:row>
    <x:row r="12">
      <x:c r="A12" s="107" t="n">
        <x:v>11</x:v>
      </x:c>
      <x:c r="B12" s="107" t="str">
        <x:v>B11</x:v>
      </x:c>
      <x:c r="C12" s="107" t="n">
        <x:v>29</x:v>
      </x:c>
      <x:c r="D12" s="174" t="str">
        <x:f>VLOOKUP(B12,'Hex Balance'!$A$2:$U$36,15,FALSE)</x:f>
        <x:v>Growth</x:v>
      </x:c>
      <x:c r="E12" s="174" t="str">
        <x:v>Cash Purchase</x:v>
      </x:c>
      <x:c r="F12" s="174" t="n">
        <x:f>MAX(6,VLOOKUP(B12,'Hex Balance'!$A$2:$U$36,20,FALSE))</x:f>
        <x:v>6</x:v>
      </x:c>
      <x:c r="G12" s="174" t="n">
        <x:v>6</x:v>
      </x:c>
      <x:c r="H12" s="149" t="n">
        <x:f>VLOOKUP(F12,'Cash Flow Model'!$A$2:$H$25,8,FALSE)</x:f>
        <x:v>1171.6650000000002</x:v>
      </x:c>
      <x:c r="I12" s="188" t="n">
        <x:v>8</x:v>
      </x:c>
      <x:c r="J12" s="189" t="n">
        <x:f>Assumptions!$B$4</x:f>
        <x:v>0.7</x:v>
      </x:c>
      <x:c r="K12" s="175" t="n">
        <x:f>0.90+(VLOOKUP(B12,'Hex Balance'!$A$2:$U$36,14,FALSE)/100)*0.35</x:f>
        <x:v>1.11525</x:v>
      </x:c>
      <x:c r="L12" s="149" t="n">
        <x:f>IF(OR(E12="Starter Grant",E12="Frontier Deed"),0,ROUND(H12*I12*J12*K12/Assumptions!$B$15,0)*Assumptions!$B$15)</x:f>
        <x:v>7300</x:v>
      </x:c>
      <x:c r="M12" s="173" t="n">
        <x:f>IF(L12=0,0,L12/(H12*J12))</x:f>
        <x:v>8.900642614204084</x:v>
      </x:c>
      <x:c r="N12" s="107" t="str">
        <x:v>Must border an owned parcel; rare Trophy level gate may also apply.</x:v>
      </x:c>
      <x:c r="O12" s="107" t="str">
        <x:v>Derived from economy, not manually painted.</x:v>
      </x:c>
      <x:c r="P12" s="105"/>
      <x:c r="Q12" s="105"/>
      <x:c r="R12" s="105"/>
      <x:c r="S12" s="105"/>
      <x:c r="T12" s="105"/>
      <x:c r="U12" s="105"/>
    </x:row>
    <x:row r="13">
      <x:c r="A13" s="107" t="n">
        <x:v>12</x:v>
      </x:c>
      <x:c r="B13" s="107" t="str">
        <x:v>C06</x:v>
      </x:c>
      <x:c r="C13" s="107" t="n">
        <x:v>23</x:v>
      </x:c>
      <x:c r="D13" s="174" t="str">
        <x:f>VLOOKUP(B13,'Hex Balance'!$A$2:$U$36,15,FALSE)</x:f>
        <x:v>Growth</x:v>
      </x:c>
      <x:c r="E13" s="174" t="str">
        <x:v>Cash Purchase</x:v>
      </x:c>
      <x:c r="F13" s="174" t="n">
        <x:f>MAX(7,VLOOKUP(B13,'Hex Balance'!$A$2:$U$36,20,FALSE))</x:f>
        <x:v>7</x:v>
      </x:c>
      <x:c r="G13" s="174" t="n">
        <x:v>7</x:v>
      </x:c>
      <x:c r="H13" s="149" t="n">
        <x:f>VLOOKUP(F13,'Cash Flow Model'!$A$2:$H$25,8,FALSE)</x:f>
        <x:v>2526.3</x:v>
      </x:c>
      <x:c r="I13" s="188" t="n">
        <x:v>8</x:v>
      </x:c>
      <x:c r="J13" s="189" t="n">
        <x:f>Assumptions!$B$4</x:f>
        <x:v>0.7</x:v>
      </x:c>
      <x:c r="K13" s="175" t="n">
        <x:f>0.90+(VLOOKUP(B13,'Hex Balance'!$A$2:$U$36,14,FALSE)/100)*0.35</x:f>
        <x:v>1.11595</x:v>
      </x:c>
      <x:c r="L13" s="149" t="n">
        <x:f>IF(OR(E13="Starter Grant",E13="Frontier Deed"),0,ROUND(H13*I13*J13*K13/Assumptions!$B$15,0)*Assumptions!$B$15)</x:f>
        <x:v>15800</x:v>
      </x:c>
      <x:c r="M13" s="173" t="n">
        <x:f>IF(L13=0,0,L13/(H13*J13))</x:f>
        <x:v>8.934579650646626</x:v>
      </x:c>
      <x:c r="N13" s="107" t="str">
        <x:v>Must border an owned parcel; rare Trophy level gate may also apply.</x:v>
      </x:c>
      <x:c r="O13" s="107" t="str">
        <x:v>Derived from economy, not manually painted.</x:v>
      </x:c>
      <x:c r="P13" s="105"/>
      <x:c r="Q13" s="105"/>
      <x:c r="R13" s="105"/>
      <x:c r="S13" s="105"/>
      <x:c r="T13" s="105"/>
      <x:c r="U13" s="105"/>
    </x:row>
    <x:row r="14">
      <x:c r="A14" s="107" t="n">
        <x:v>13</x:v>
      </x:c>
      <x:c r="B14" s="107" t="str">
        <x:v>B06</x:v>
      </x:c>
      <x:c r="C14" s="107" t="n">
        <x:v>15</x:v>
      </x:c>
      <x:c r="D14" s="174" t="str">
        <x:f>VLOOKUP(B14,'Hex Balance'!$A$2:$U$36,15,FALSE)</x:f>
        <x:v>Growth</x:v>
      </x:c>
      <x:c r="E14" s="174" t="str">
        <x:v>Cash Purchase</x:v>
      </x:c>
      <x:c r="F14" s="174" t="n">
        <x:f>MAX(7,VLOOKUP(B14,'Hex Balance'!$A$2:$U$36,20,FALSE))</x:f>
        <x:v>7</x:v>
      </x:c>
      <x:c r="G14" s="174" t="n">
        <x:v>7</x:v>
      </x:c>
      <x:c r="H14" s="149" t="n">
        <x:f>VLOOKUP(F14,'Cash Flow Model'!$A$2:$H$25,8,FALSE)</x:f>
        <x:v>2526.3</x:v>
      </x:c>
      <x:c r="I14" s="188" t="n">
        <x:v>8</x:v>
      </x:c>
      <x:c r="J14" s="189" t="n">
        <x:f>Assumptions!$B$4</x:f>
        <x:v>0.7</x:v>
      </x:c>
      <x:c r="K14" s="175" t="n">
        <x:f>0.90+(VLOOKUP(B14,'Hex Balance'!$A$2:$U$36,14,FALSE)/100)*0.35</x:f>
        <x:v>1.12015</x:v>
      </x:c>
      <x:c r="L14" s="149" t="n">
        <x:f>IF(OR(E14="Starter Grant",E14="Frontier Deed"),0,ROUND(H14*I14*J14*K14/Assumptions!$B$15,0)*Assumptions!$B$15)</x:f>
        <x:v>15800</x:v>
      </x:c>
      <x:c r="M14" s="173" t="n">
        <x:f>IF(L14=0,0,L14/(H14*J14))</x:f>
        <x:v>8.934579650646626</x:v>
      </x:c>
      <x:c r="N14" s="107" t="str">
        <x:v>Must border an owned parcel; rare Trophy level gate may also apply.</x:v>
      </x:c>
      <x:c r="O14" s="107" t="str">
        <x:v>Derived from economy, not manually painted.</x:v>
      </x:c>
      <x:c r="P14" s="105"/>
      <x:c r="Q14" s="105"/>
      <x:c r="R14" s="105"/>
      <x:c r="S14" s="105"/>
      <x:c r="T14" s="105"/>
      <x:c r="U14" s="105"/>
    </x:row>
    <x:row r="15">
      <x:c r="A15" s="107" t="n">
        <x:v>14</x:v>
      </x:c>
      <x:c r="B15" s="107" t="str">
        <x:v>C10</x:v>
      </x:c>
      <x:c r="C15" s="107" t="n">
        <x:v>34</x:v>
      </x:c>
      <x:c r="D15" s="174" t="str">
        <x:f>VLOOKUP(B15,'Hex Balance'!$A$2:$U$36,15,FALSE)</x:f>
        <x:v>Premium</x:v>
      </x:c>
      <x:c r="E15" s="174" t="str">
        <x:v>Cash Purchase</x:v>
      </x:c>
      <x:c r="F15" s="174" t="n">
        <x:f>MAX(7,VLOOKUP(B15,'Hex Balance'!$A$2:$U$36,20,FALSE))</x:f>
        <x:v>7</x:v>
      </x:c>
      <x:c r="G15" s="174" t="n">
        <x:v>7</x:v>
      </x:c>
      <x:c r="H15" s="149" t="n">
        <x:f>VLOOKUP(F15,'Cash Flow Model'!$A$2:$H$25,8,FALSE)</x:f>
        <x:v>2526.3</x:v>
      </x:c>
      <x:c r="I15" s="188" t="n">
        <x:v>8</x:v>
      </x:c>
      <x:c r="J15" s="189" t="n">
        <x:f>Assumptions!$B$4</x:f>
        <x:v>0.7</x:v>
      </x:c>
      <x:c r="K15" s="175" t="n">
        <x:f>0.90+(VLOOKUP(B15,'Hex Balance'!$A$2:$U$36,14,FALSE)/100)*0.35</x:f>
        <x:v>1.1296</x:v>
      </x:c>
      <x:c r="L15" s="149" t="n">
        <x:f>IF(OR(E15="Starter Grant",E15="Frontier Deed"),0,ROUND(H15*I15*J15*K15/Assumptions!$B$15,0)*Assumptions!$B$15)</x:f>
        <x:v>16000</x:v>
      </x:c>
      <x:c r="M15" s="173" t="n">
        <x:f>IF(L15=0,0,L15/(H15*J15))</x:f>
        <x:v>9.04767559559152</x:v>
      </x:c>
      <x:c r="N15" s="107" t="str">
        <x:v>Must border an owned parcel; rare Trophy level gate may also apply.</x:v>
      </x:c>
      <x:c r="O15" s="107" t="str">
        <x:v>Derived from economy, not manually painted.</x:v>
      </x:c>
      <x:c r="P15" s="105"/>
      <x:c r="Q15" s="105"/>
      <x:c r="R15" s="105"/>
      <x:c r="S15" s="105"/>
      <x:c r="T15" s="105"/>
      <x:c r="U15" s="105"/>
    </x:row>
    <x:row r="16">
      <x:c r="A16" s="107" t="n">
        <x:v>15</x:v>
      </x:c>
      <x:c r="B16" s="107" t="str">
        <x:v>B01</x:v>
      </x:c>
      <x:c r="C16" s="107" t="n">
        <x:v>7</x:v>
      </x:c>
      <x:c r="D16" s="174" t="str">
        <x:f>VLOOKUP(B16,'Hex Balance'!$A$2:$U$36,15,FALSE)</x:f>
        <x:v>Premium</x:v>
      </x:c>
      <x:c r="E16" s="174" t="str">
        <x:v>Cash Purchase</x:v>
      </x:c>
      <x:c r="F16" s="174" t="n">
        <x:f>MAX(8,VLOOKUP(B16,'Hex Balance'!$A$2:$U$36,20,FALSE))</x:f>
        <x:v>8</x:v>
      </x:c>
      <x:c r="G16" s="174" t="n">
        <x:v>8</x:v>
      </x:c>
      <x:c r="H16" s="149" t="n">
        <x:f>VLOOKUP(F16,'Cash Flow Model'!$A$2:$H$25,8,FALSE)</x:f>
        <x:v>3739.7700000000004</x:v>
      </x:c>
      <x:c r="I16" s="188" t="n">
        <x:v>8</x:v>
      </x:c>
      <x:c r="J16" s="189" t="n">
        <x:f>Assumptions!$B$4</x:f>
        <x:v>0.7</x:v>
      </x:c>
      <x:c r="K16" s="175" t="n">
        <x:f>0.90+(VLOOKUP(B16,'Hex Balance'!$A$2:$U$36,14,FALSE)/100)*0.35</x:f>
        <x:v>1.131</x:v>
      </x:c>
      <x:c r="L16" s="149" t="n">
        <x:f>IF(OR(E16="Starter Grant",E16="Frontier Deed"),0,ROUND(H16*I16*J16*K16/Assumptions!$B$15,0)*Assumptions!$B$15)</x:f>
        <x:v>23700</x:v>
      </x:c>
      <x:c r="M16" s="173" t="n">
        <x:f>IF(L16=0,0,L16/(H16*J16))</x:f>
        <x:v>9.053268745709724</x:v>
      </x:c>
      <x:c r="N16" s="107" t="str">
        <x:v>Must border an owned parcel; rare Trophy level gate may also apply.</x:v>
      </x:c>
      <x:c r="O16" s="107" t="str">
        <x:v>Derived from economy, not manually painted.</x:v>
      </x:c>
      <x:c r="P16" s="105"/>
      <x:c r="Q16" s="105"/>
      <x:c r="R16" s="105"/>
      <x:c r="S16" s="105"/>
      <x:c r="T16" s="105"/>
      <x:c r="U16" s="105"/>
    </x:row>
    <x:row r="17">
      <x:c r="A17" s="107" t="n">
        <x:v>16</x:v>
      </x:c>
      <x:c r="B17" s="107" t="str">
        <x:v>C04</x:v>
      </x:c>
      <x:c r="C17" s="107" t="n">
        <x:v>6</x:v>
      </x:c>
      <x:c r="D17" s="174" t="str">
        <x:f>VLOOKUP(B17,'Hex Balance'!$A$2:$U$36,15,FALSE)</x:f>
        <x:v>Premium</x:v>
      </x:c>
      <x:c r="E17" s="174" t="str">
        <x:v>Cash Purchase</x:v>
      </x:c>
      <x:c r="F17" s="174" t="n">
        <x:f>MAX(8,VLOOKUP(B17,'Hex Balance'!$A$2:$U$36,20,FALSE))</x:f>
        <x:v>8</x:v>
      </x:c>
      <x:c r="G17" s="174" t="n">
        <x:v>8</x:v>
      </x:c>
      <x:c r="H17" s="149" t="n">
        <x:f>VLOOKUP(F17,'Cash Flow Model'!$A$2:$H$25,8,FALSE)</x:f>
        <x:v>3739.7700000000004</x:v>
      </x:c>
      <x:c r="I17" s="188" t="n">
        <x:v>8</x:v>
      </x:c>
      <x:c r="J17" s="189" t="n">
        <x:f>Assumptions!$B$4</x:f>
        <x:v>0.7</x:v>
      </x:c>
      <x:c r="K17" s="175" t="n">
        <x:f>0.90+(VLOOKUP(B17,'Hex Balance'!$A$2:$U$36,14,FALSE)/100)*0.35</x:f>
        <x:v>1.1331</x:v>
      </x:c>
      <x:c r="L17" s="149" t="n">
        <x:f>IF(OR(E17="Starter Grant",E17="Frontier Deed"),0,ROUND(H17*I17*J17*K17/Assumptions!$B$15,0)*Assumptions!$B$15)</x:f>
        <x:v>23700</x:v>
      </x:c>
      <x:c r="M17" s="173" t="n">
        <x:f>IF(L17=0,0,L17/(H17*J17))</x:f>
        <x:v>9.053268745709724</x:v>
      </x:c>
      <x:c r="N17" s="107" t="str">
        <x:v>Must border an owned parcel; rare Trophy level gate may also apply.</x:v>
      </x:c>
      <x:c r="O17" s="107" t="str">
        <x:v>Derived from economy, not manually painted.</x:v>
      </x:c>
      <x:c r="P17" s="105"/>
      <x:c r="Q17" s="105"/>
      <x:c r="R17" s="105"/>
      <x:c r="S17" s="105"/>
      <x:c r="T17" s="105"/>
      <x:c r="U17" s="105"/>
    </x:row>
    <x:row r="18">
      <x:c r="A18" s="107" t="n">
        <x:v>17</x:v>
      </x:c>
      <x:c r="B18" s="107" t="str">
        <x:v>B04</x:v>
      </x:c>
      <x:c r="C18" s="107" t="n">
        <x:v>10</x:v>
      </x:c>
      <x:c r="D18" s="174" t="str">
        <x:f>VLOOKUP(B18,'Hex Balance'!$A$2:$U$36,15,FALSE)</x:f>
        <x:v>Premium</x:v>
      </x:c>
      <x:c r="E18" s="174" t="str">
        <x:v>Cash Purchase</x:v>
      </x:c>
      <x:c r="F18" s="174" t="n">
        <x:f>MAX(8,VLOOKUP(B18,'Hex Balance'!$A$2:$U$36,20,FALSE))</x:f>
        <x:v>8</x:v>
      </x:c>
      <x:c r="G18" s="174" t="n">
        <x:v>8</x:v>
      </x:c>
      <x:c r="H18" s="149" t="n">
        <x:f>VLOOKUP(F18,'Cash Flow Model'!$A$2:$H$25,8,FALSE)</x:f>
        <x:v>3739.7700000000004</x:v>
      </x:c>
      <x:c r="I18" s="188" t="n">
        <x:v>10</x:v>
      </x:c>
      <x:c r="J18" s="189" t="n">
        <x:f>Assumptions!$B$4</x:f>
        <x:v>0.7</x:v>
      </x:c>
      <x:c r="K18" s="175" t="n">
        <x:f>0.90+(VLOOKUP(B18,'Hex Balance'!$A$2:$U$36,14,FALSE)/100)*0.35</x:f>
        <x:v>1.13415</x:v>
      </x:c>
      <x:c r="L18" s="149" t="n">
        <x:f>IF(OR(E18="Starter Grant",E18="Frontier Deed"),0,ROUND(H18*I18*J18*K18/Assumptions!$B$15,0)*Assumptions!$B$15)</x:f>
        <x:v>29700</x:v>
      </x:c>
      <x:c r="M18" s="173" t="n">
        <x:f>IF(L18=0,0,L18/(H18*J18))</x:f>
        <x:v>11.345235516775478</x:v>
      </x:c>
      <x:c r="N18" s="107" t="str">
        <x:v>Must border an owned parcel; rare Trophy level gate may also apply.</x:v>
      </x:c>
      <x:c r="O18" s="107" t="str">
        <x:v>Derived from economy, not manually painted.</x:v>
      </x:c>
      <x:c r="P18" s="105"/>
      <x:c r="Q18" s="105"/>
      <x:c r="R18" s="105"/>
      <x:c r="S18" s="105"/>
      <x:c r="T18" s="105"/>
      <x:c r="U18" s="105"/>
    </x:row>
    <x:row r="19">
      <x:c r="A19" s="107" t="n">
        <x:v>18</x:v>
      </x:c>
      <x:c r="B19" s="107" t="str">
        <x:v>C02</x:v>
      </x:c>
      <x:c r="C19" s="107" t="n">
        <x:v>3</x:v>
      </x:c>
      <x:c r="D19" s="174" t="str">
        <x:f>VLOOKUP(B19,'Hex Balance'!$A$2:$U$36,15,FALSE)</x:f>
        <x:v>Premium</x:v>
      </x:c>
      <x:c r="E19" s="174" t="str">
        <x:v>Cash Purchase</x:v>
      </x:c>
      <x:c r="F19" s="174" t="n">
        <x:f>MAX(8,VLOOKUP(B19,'Hex Balance'!$A$2:$U$36,20,FALSE))</x:f>
        <x:v>8</x:v>
      </x:c>
      <x:c r="G19" s="174" t="n">
        <x:v>8</x:v>
      </x:c>
      <x:c r="H19" s="149" t="n">
        <x:f>VLOOKUP(F19,'Cash Flow Model'!$A$2:$H$25,8,FALSE)</x:f>
        <x:v>3739.7700000000004</x:v>
      </x:c>
      <x:c r="I19" s="188" t="n">
        <x:v>10</x:v>
      </x:c>
      <x:c r="J19" s="189" t="n">
        <x:f>Assumptions!$B$4</x:f>
        <x:v>0.7</x:v>
      </x:c>
      <x:c r="K19" s="175" t="n">
        <x:f>0.90+(VLOOKUP(B19,'Hex Balance'!$A$2:$U$36,14,FALSE)/100)*0.35</x:f>
        <x:v>1.138</x:v>
      </x:c>
      <x:c r="L19" s="149" t="n">
        <x:f>IF(OR(E19="Starter Grant",E19="Frontier Deed"),0,ROUND(H19*I19*J19*K19/Assumptions!$B$15,0)*Assumptions!$B$15)</x:f>
        <x:v>29800</x:v>
      </x:c>
      <x:c r="M19" s="173" t="n">
        <x:f>IF(L19=0,0,L19/(H19*J19))</x:f>
        <x:v>11.383434962959907</x:v>
      </x:c>
      <x:c r="N19" s="107" t="str">
        <x:v>Must border an owned parcel; rare Trophy level gate may also apply.</x:v>
      </x:c>
      <x:c r="O19" s="107" t="str">
        <x:v>Derived from economy, not manually painted.</x:v>
      </x:c>
      <x:c r="P19" s="105"/>
      <x:c r="Q19" s="105"/>
      <x:c r="R19" s="105"/>
      <x:c r="S19" s="105"/>
      <x:c r="T19" s="105"/>
      <x:c r="U19" s="105"/>
    </x:row>
    <x:row r="20">
      <x:c r="A20" s="107" t="n">
        <x:v>19</x:v>
      </x:c>
      <x:c r="B20" s="107" t="str">
        <x:v>B12</x:v>
      </x:c>
      <x:c r="C20" s="107" t="n">
        <x:v>30</x:v>
      </x:c>
      <x:c r="D20" s="174" t="str">
        <x:f>VLOOKUP(B20,'Hex Balance'!$A$2:$U$36,15,FALSE)</x:f>
        <x:v>Premium</x:v>
      </x:c>
      <x:c r="E20" s="174" t="str">
        <x:v>Cash Purchase</x:v>
      </x:c>
      <x:c r="F20" s="174" t="n">
        <x:f>MAX(9,VLOOKUP(B20,'Hex Balance'!$A$2:$U$36,20,FALSE))</x:f>
        <x:v>9</x:v>
      </x:c>
      <x:c r="G20" s="174" t="n">
        <x:v>9</x:v>
      </x:c>
      <x:c r="H20" s="149" t="n">
        <x:f>VLOOKUP(F20,'Cash Flow Model'!$A$2:$H$25,8,FALSE)</x:f>
        <x:v>4015.5750000000003</x:v>
      </x:c>
      <x:c r="I20" s="188" t="n">
        <x:v>10</x:v>
      </x:c>
      <x:c r="J20" s="189" t="n">
        <x:f>Assumptions!$B$4</x:f>
        <x:v>0.7</x:v>
      </x:c>
      <x:c r="K20" s="175" t="n">
        <x:f>0.90+(VLOOKUP(B20,'Hex Balance'!$A$2:$U$36,14,FALSE)/100)*0.35</x:f>
        <x:v>1.13835</x:v>
      </x:c>
      <x:c r="L20" s="149" t="n">
        <x:f>IF(OR(E20="Starter Grant",E20="Frontier Deed"),0,ROUND(H20*I20*J20*K20/Assumptions!$B$15,0)*Assumptions!$B$15)</x:f>
        <x:v>32000</x:v>
      </x:c>
      <x:c r="M20" s="173" t="n">
        <x:f>IF(L20=0,0,L20/(H20*J20))</x:f>
        <x:v>11.3842440283859</x:v>
      </x:c>
      <x:c r="N20" s="107" t="str">
        <x:v>Must border an owned parcel; rare Trophy level gate may also apply.</x:v>
      </x:c>
      <x:c r="O20" s="107" t="str">
        <x:v>Derived from economy, not manually painted.</x:v>
      </x:c>
      <x:c r="P20" s="105"/>
      <x:c r="Q20" s="105"/>
      <x:c r="R20" s="105"/>
      <x:c r="S20" s="105"/>
      <x:c r="T20" s="105"/>
      <x:c r="U20" s="105"/>
    </x:row>
    <x:row r="21">
      <x:c r="A21" s="107" t="n">
        <x:v>20</x:v>
      </x:c>
      <x:c r="B21" s="107" t="str">
        <x:v>B10</x:v>
      </x:c>
      <x:c r="C21" s="107" t="n">
        <x:v>27</x:v>
      </x:c>
      <x:c r="D21" s="174" t="str">
        <x:f>VLOOKUP(B21,'Hex Balance'!$A$2:$U$36,15,FALSE)</x:f>
        <x:v>Premium</x:v>
      </x:c>
      <x:c r="E21" s="174" t="str">
        <x:v>Cash Purchase</x:v>
      </x:c>
      <x:c r="F21" s="174" t="n">
        <x:f>MAX(9,VLOOKUP(B21,'Hex Balance'!$A$2:$U$36,20,FALSE))</x:f>
        <x:v>9</x:v>
      </x:c>
      <x:c r="G21" s="174" t="n">
        <x:v>9</x:v>
      </x:c>
      <x:c r="H21" s="149" t="n">
        <x:f>VLOOKUP(F21,'Cash Flow Model'!$A$2:$H$25,8,FALSE)</x:f>
        <x:v>4015.5750000000003</x:v>
      </x:c>
      <x:c r="I21" s="188" t="n">
        <x:v>10</x:v>
      </x:c>
      <x:c r="J21" s="189" t="n">
        <x:f>Assumptions!$B$4</x:f>
        <x:v>0.7</x:v>
      </x:c>
      <x:c r="K21" s="175" t="n">
        <x:f>0.90+(VLOOKUP(B21,'Hex Balance'!$A$2:$U$36,14,FALSE)/100)*0.35</x:f>
        <x:v>1.1429</x:v>
      </x:c>
      <x:c r="L21" s="149" t="n">
        <x:f>IF(OR(E21="Starter Grant",E21="Frontier Deed"),0,ROUND(H21*I21*J21*K21/Assumptions!$B$15,0)*Assumptions!$B$15)</x:f>
        <x:v>32100</x:v>
      </x:c>
      <x:c r="M21" s="173" t="n">
        <x:f>IF(L21=0,0,L21/(H21*J21))</x:f>
        <x:v>11.419819790974607</x:v>
      </x:c>
      <x:c r="N21" s="107" t="str">
        <x:v>Must border an owned parcel; rare Trophy level gate may also apply.</x:v>
      </x:c>
      <x:c r="O21" s="107" t="str">
        <x:v>Derived from economy, not manually painted.</x:v>
      </x:c>
      <x:c r="P21" s="105"/>
      <x:c r="Q21" s="105"/>
      <x:c r="R21" s="105"/>
      <x:c r="S21" s="105"/>
      <x:c r="T21" s="105"/>
      <x:c r="U21" s="105"/>
    </x:row>
    <x:row r="22">
      <x:c r="A22" s="107" t="n">
        <x:v>21</x:v>
      </x:c>
      <x:c r="B22" s="107" t="str">
        <x:v>C03</x:v>
      </x:c>
      <x:c r="C22" s="107" t="n">
        <x:v>4</x:v>
      </x:c>
      <x:c r="D22" s="174" t="str">
        <x:f>VLOOKUP(B22,'Hex Balance'!$A$2:$U$36,15,FALSE)</x:f>
        <x:v>Premium</x:v>
      </x:c>
      <x:c r="E22" s="174" t="str">
        <x:v>Cash Purchase</x:v>
      </x:c>
      <x:c r="F22" s="174" t="n">
        <x:f>MAX(9,VLOOKUP(B22,'Hex Balance'!$A$2:$U$36,20,FALSE))</x:f>
        <x:v>9</x:v>
      </x:c>
      <x:c r="G22" s="174" t="n">
        <x:v>9</x:v>
      </x:c>
      <x:c r="H22" s="149" t="n">
        <x:f>VLOOKUP(F22,'Cash Flow Model'!$A$2:$H$25,8,FALSE)</x:f>
        <x:v>4015.5750000000003</x:v>
      </x:c>
      <x:c r="I22" s="188" t="n">
        <x:v>10</x:v>
      </x:c>
      <x:c r="J22" s="189" t="n">
        <x:f>Assumptions!$B$4</x:f>
        <x:v>0.7</x:v>
      </x:c>
      <x:c r="K22" s="175" t="n">
        <x:f>0.90+(VLOOKUP(B22,'Hex Balance'!$A$2:$U$36,14,FALSE)/100)*0.35</x:f>
        <x:v>1.14465</x:v>
      </x:c>
      <x:c r="L22" s="149" t="n">
        <x:f>IF(OR(E22="Starter Grant",E22="Frontier Deed"),0,ROUND(H22*I22*J22*K22/Assumptions!$B$15,0)*Assumptions!$B$15)</x:f>
        <x:v>32200</x:v>
      </x:c>
      <x:c r="M22" s="173" t="n">
        <x:f>IF(L22=0,0,L22/(H22*J22))</x:f>
        <x:v>11.455395553563312</x:v>
      </x:c>
      <x:c r="N22" s="107" t="str">
        <x:v>Must border an owned parcel; rare Trophy level gate may also apply.</x:v>
      </x:c>
      <x:c r="O22" s="107" t="str">
        <x:v>Derived from economy, not manually painted.</x:v>
      </x:c>
      <x:c r="P22" s="105"/>
      <x:c r="Q22" s="105"/>
      <x:c r="R22" s="105"/>
      <x:c r="S22" s="105"/>
      <x:c r="T22" s="105"/>
      <x:c r="U22" s="105"/>
    </x:row>
    <x:row r="23">
      <x:c r="A23" s="107" t="n">
        <x:v>22</x:v>
      </x:c>
      <x:c r="B23" s="107" t="str">
        <x:v>B03</x:v>
      </x:c>
      <x:c r="C23" s="107" t="n">
        <x:v>9</x:v>
      </x:c>
      <x:c r="D23" s="174" t="str">
        <x:f>VLOOKUP(B23,'Hex Balance'!$A$2:$U$36,15,FALSE)</x:f>
        <x:v>Premium</x:v>
      </x:c>
      <x:c r="E23" s="174" t="str">
        <x:v>Cash Purchase</x:v>
      </x:c>
      <x:c r="F23" s="174" t="n">
        <x:f>MAX(9,VLOOKUP(B23,'Hex Balance'!$A$2:$U$36,20,FALSE))</x:f>
        <x:v>9</x:v>
      </x:c>
      <x:c r="G23" s="174" t="n">
        <x:v>9</x:v>
      </x:c>
      <x:c r="H23" s="149" t="n">
        <x:f>VLOOKUP(F23,'Cash Flow Model'!$A$2:$H$25,8,FALSE)</x:f>
        <x:v>4015.5750000000003</x:v>
      </x:c>
      <x:c r="I23" s="188" t="n">
        <x:v>10</x:v>
      </x:c>
      <x:c r="J23" s="189" t="n">
        <x:f>Assumptions!$B$4</x:f>
        <x:v>0.7</x:v>
      </x:c>
      <x:c r="K23" s="175" t="n">
        <x:f>0.90+(VLOOKUP(B23,'Hex Balance'!$A$2:$U$36,14,FALSE)/100)*0.35</x:f>
        <x:v>1.14535</x:v>
      </x:c>
      <x:c r="L23" s="149" t="n">
        <x:f>IF(OR(E23="Starter Grant",E23="Frontier Deed"),0,ROUND(H23*I23*J23*K23/Assumptions!$B$15,0)*Assumptions!$B$15)</x:f>
        <x:v>32200</x:v>
      </x:c>
      <x:c r="M23" s="173" t="n">
        <x:f>IF(L23=0,0,L23/(H23*J23))</x:f>
        <x:v>11.455395553563312</x:v>
      </x:c>
      <x:c r="N23" s="107" t="str">
        <x:v>Must border an owned parcel; rare Trophy level gate may also apply.</x:v>
      </x:c>
      <x:c r="O23" s="107" t="str">
        <x:v>Derived from economy, not manually painted.</x:v>
      </x:c>
      <x:c r="P23" s="105"/>
      <x:c r="Q23" s="105"/>
      <x:c r="R23" s="105"/>
      <x:c r="S23" s="105"/>
      <x:c r="T23" s="105"/>
      <x:c r="U23" s="105"/>
    </x:row>
    <x:row r="24">
      <x:c r="A24" s="107" t="n">
        <x:v>23</x:v>
      </x:c>
      <x:c r="B24" s="107" t="str">
        <x:v>B05</x:v>
      </x:c>
      <x:c r="C24" s="107" t="n">
        <x:v>13</x:v>
      </x:c>
      <x:c r="D24" s="174" t="str">
        <x:f>VLOOKUP(B24,'Hex Balance'!$A$2:$U$36,15,FALSE)</x:f>
        <x:v>Premium</x:v>
      </x:c>
      <x:c r="E24" s="174" t="str">
        <x:v>Cash Purchase</x:v>
      </x:c>
      <x:c r="F24" s="174" t="n">
        <x:f>MAX(10,VLOOKUP(B24,'Hex Balance'!$A$2:$U$36,20,FALSE))</x:f>
        <x:v>10</x:v>
      </x:c>
      <x:c r="G24" s="174" t="n">
        <x:v>10</x:v>
      </x:c>
      <x:c r="H24" s="149" t="n">
        <x:f>VLOOKUP(F24,'Cash Flow Model'!$A$2:$H$25,8,FALSE)</x:f>
        <x:v>6147.414</x:v>
      </x:c>
      <x:c r="I24" s="188" t="n">
        <x:v>12</x:v>
      </x:c>
      <x:c r="J24" s="189" t="n">
        <x:f>Assumptions!$B$4</x:f>
        <x:v>0.7</x:v>
      </x:c>
      <x:c r="K24" s="175" t="n">
        <x:f>0.90+(VLOOKUP(B24,'Hex Balance'!$A$2:$U$36,14,FALSE)/100)*0.35</x:f>
        <x:v>1.15095</x:v>
      </x:c>
      <x:c r="L24" s="149" t="n">
        <x:f>IF(OR(E24="Starter Grant",E24="Frontier Deed"),0,ROUND(H24*I24*J24*K24/Assumptions!$B$15,0)*Assumptions!$B$15)</x:f>
        <x:v>59400</x:v>
      </x:c>
      <x:c r="M24" s="173" t="n">
        <x:f>IF(L24=0,0,L24/(H24*J24))</x:f>
        <x:v>13.803713700938781</x:v>
      </x:c>
      <x:c r="N24" s="107" t="str">
        <x:v>Must border an owned parcel; rare Trophy level gate may also apply.</x:v>
      </x:c>
      <x:c r="O24" s="107" t="str">
        <x:v>Derived from economy, not manually painted.</x:v>
      </x:c>
      <x:c r="P24" s="105"/>
      <x:c r="Q24" s="105"/>
      <x:c r="R24" s="105"/>
      <x:c r="S24" s="105"/>
      <x:c r="T24" s="105"/>
      <x:c r="U24" s="105"/>
    </x:row>
    <x:row r="25">
      <x:c r="A25" s="107" t="n">
        <x:v>24</x:v>
      </x:c>
      <x:c r="B25" s="107" t="str">
        <x:v>C01</x:v>
      </x:c>
      <x:c r="C25" s="107" t="n">
        <x:v>1</x:v>
      </x:c>
      <x:c r="D25" s="174" t="str">
        <x:f>VLOOKUP(B25,'Hex Balance'!$A$2:$U$36,15,FALSE)</x:f>
        <x:v>Premium</x:v>
      </x:c>
      <x:c r="E25" s="174" t="str">
        <x:v>Cash Purchase</x:v>
      </x:c>
      <x:c r="F25" s="174" t="n">
        <x:f>MAX(10,VLOOKUP(B25,'Hex Balance'!$A$2:$U$36,20,FALSE))</x:f>
        <x:v>10</x:v>
      </x:c>
      <x:c r="G25" s="174" t="n">
        <x:v>10</x:v>
      </x:c>
      <x:c r="H25" s="149" t="n">
        <x:f>VLOOKUP(F25,'Cash Flow Model'!$A$2:$H$25,8,FALSE)</x:f>
        <x:v>6147.414</x:v>
      </x:c>
      <x:c r="I25" s="188" t="n">
        <x:v>12</x:v>
      </x:c>
      <x:c r="J25" s="189" t="n">
        <x:f>Assumptions!$B$4</x:f>
        <x:v>0.7</x:v>
      </x:c>
      <x:c r="K25" s="175" t="n">
        <x:f>0.90+(VLOOKUP(B25,'Hex Balance'!$A$2:$U$36,14,FALSE)/100)*0.35</x:f>
        <x:v>1.15165</x:v>
      </x:c>
      <x:c r="L25" s="149" t="n">
        <x:f>IF(OR(E25="Starter Grant",E25="Frontier Deed"),0,ROUND(H25*I25*J25*K25/Assumptions!$B$15,0)*Assumptions!$B$15)</x:f>
        <x:v>59500</x:v>
      </x:c>
      <x:c r="M25" s="173" t="n">
        <x:f>IF(L25=0,0,L25/(H25*J25))</x:f>
        <x:v>13.826952276192886</x:v>
      </x:c>
      <x:c r="N25" s="107" t="str">
        <x:v>Must border an owned parcel; rare Trophy level gate may also apply.</x:v>
      </x:c>
      <x:c r="O25" s="107" t="str">
        <x:v>Derived from economy, not manually painted.</x:v>
      </x:c>
      <x:c r="P25" s="105"/>
      <x:c r="Q25" s="105"/>
      <x:c r="R25" s="105"/>
      <x:c r="S25" s="105"/>
      <x:c r="T25" s="105"/>
      <x:c r="U25" s="105"/>
    </x:row>
    <x:row r="26">
      <x:c r="A26" s="107" t="n">
        <x:v>25</x:v>
      </x:c>
      <x:c r="B26" s="107" t="str">
        <x:v>B08</x:v>
      </x:c>
      <x:c r="C26" s="107" t="n">
        <x:v>21</x:v>
      </x:c>
      <x:c r="D26" s="174" t="str">
        <x:f>VLOOKUP(B26,'Hex Balance'!$A$2:$U$36,15,FALSE)</x:f>
        <x:v>Premium</x:v>
      </x:c>
      <x:c r="E26" s="174" t="str">
        <x:v>Cash Purchase</x:v>
      </x:c>
      <x:c r="F26" s="174" t="n">
        <x:f>MAX(10,VLOOKUP(B26,'Hex Balance'!$A$2:$U$36,20,FALSE))</x:f>
        <x:v>10</x:v>
      </x:c>
      <x:c r="G26" s="174" t="n">
        <x:v>10</x:v>
      </x:c>
      <x:c r="H26" s="149" t="n">
        <x:f>VLOOKUP(F26,'Cash Flow Model'!$A$2:$H$25,8,FALSE)</x:f>
        <x:v>6147.414</x:v>
      </x:c>
      <x:c r="I26" s="188" t="n">
        <x:v>12</x:v>
      </x:c>
      <x:c r="J26" s="189" t="n">
        <x:f>Assumptions!$B$4</x:f>
        <x:v>0.7</x:v>
      </x:c>
      <x:c r="K26" s="175" t="n">
        <x:f>0.90+(VLOOKUP(B26,'Hex Balance'!$A$2:$U$36,14,FALSE)/100)*0.35</x:f>
        <x:v>1.1583</x:v>
      </x:c>
      <x:c r="L26" s="149" t="n">
        <x:f>IF(OR(E26="Starter Grant",E26="Frontier Deed"),0,ROUND(H26*I26*J26*K26/Assumptions!$B$15,0)*Assumptions!$B$15)</x:f>
        <x:v>59800</x:v>
      </x:c>
      <x:c r="M26" s="173" t="n">
        <x:f>IF(L26=0,0,L26/(H26*J26))</x:f>
        <x:v>13.896668001955204</x:v>
      </x:c>
      <x:c r="N26" s="107" t="str">
        <x:v>Must border an owned parcel; rare Trophy level gate may also apply.</x:v>
      </x:c>
      <x:c r="O26" s="107" t="str">
        <x:v>Derived from economy, not manually painted.</x:v>
      </x:c>
      <x:c r="P26" s="105"/>
      <x:c r="Q26" s="105"/>
      <x:c r="R26" s="105"/>
      <x:c r="S26" s="105"/>
      <x:c r="T26" s="105"/>
      <x:c r="U26" s="105"/>
    </x:row>
    <x:row r="27">
      <x:c r="A27" s="107" t="n">
        <x:v>26</x:v>
      </x:c>
      <x:c r="B27" s="107" t="str">
        <x:v>B02</x:v>
      </x:c>
      <x:c r="C27" s="107" t="n">
        <x:v>8</x:v>
      </x:c>
      <x:c r="D27" s="174" t="str">
        <x:f>VLOOKUP(B27,'Hex Balance'!$A$2:$U$36,15,FALSE)</x:f>
        <x:v>Prime</x:v>
      </x:c>
      <x:c r="E27" s="174" t="str">
        <x:v>Cash Purchase</x:v>
      </x:c>
      <x:c r="F27" s="174" t="n">
        <x:f>MAX(10,VLOOKUP(B27,'Hex Balance'!$A$2:$U$36,20,FALSE))</x:f>
        <x:v>10</x:v>
      </x:c>
      <x:c r="G27" s="174" t="n">
        <x:v>10</x:v>
      </x:c>
      <x:c r="H27" s="149" t="n">
        <x:f>VLOOKUP(F27,'Cash Flow Model'!$A$2:$H$25,8,FALSE)</x:f>
        <x:v>6147.414</x:v>
      </x:c>
      <x:c r="I27" s="188" t="n">
        <x:v>12</x:v>
      </x:c>
      <x:c r="J27" s="189" t="n">
        <x:f>Assumptions!$B$4</x:f>
        <x:v>0.7</x:v>
      </x:c>
      <x:c r="K27" s="175" t="n">
        <x:f>0.90+(VLOOKUP(B27,'Hex Balance'!$A$2:$U$36,14,FALSE)/100)*0.35</x:f>
        <x:v>1.16845</x:v>
      </x:c>
      <x:c r="L27" s="149" t="n">
        <x:f>IF(OR(E27="Starter Grant",E27="Frontier Deed"),0,ROUND(H27*I27*J27*K27/Assumptions!$B$15,0)*Assumptions!$B$15)</x:f>
        <x:v>60300</x:v>
      </x:c>
      <x:c r="M27" s="173" t="n">
        <x:f>IF(L27=0,0,L27/(H27*J27))</x:f>
        <x:v>14.012860878225732</x:v>
      </x:c>
      <x:c r="N27" s="107" t="str">
        <x:v>Must border an owned parcel; rare Trophy level gate may also apply.</x:v>
      </x:c>
      <x:c r="O27" s="107" t="str">
        <x:v>Derived from economy, not manually painted.</x:v>
      </x:c>
      <x:c r="P27" s="105"/>
      <x:c r="Q27" s="105"/>
      <x:c r="R27" s="105"/>
      <x:c r="S27" s="105"/>
      <x:c r="T27" s="105"/>
      <x:c r="U27" s="105"/>
    </x:row>
    <x:row r="28">
      <x:c r="A28" s="107" t="n">
        <x:v>27</x:v>
      </x:c>
      <x:c r="B28" s="107" t="str">
        <x:v>B07</x:v>
      </x:c>
      <x:c r="C28" s="107" t="n">
        <x:v>17</x:v>
      </x:c>
      <x:c r="D28" s="174" t="str">
        <x:f>VLOOKUP(B28,'Hex Balance'!$A$2:$U$36,15,FALSE)</x:f>
        <x:v>Prime</x:v>
      </x:c>
      <x:c r="E28" s="174" t="str">
        <x:v>Cash Purchase</x:v>
      </x:c>
      <x:c r="F28" s="174" t="n">
        <x:f>MAX(11,VLOOKUP(B28,'Hex Balance'!$A$2:$U$36,20,FALSE))</x:f>
        <x:v>11</x:v>
      </x:c>
      <x:c r="G28" s="174" t="n">
        <x:v>11</x:v>
      </x:c>
      <x:c r="H28" s="149" t="n">
        <x:f>VLOOKUP(F28,'Cash Flow Model'!$A$2:$H$25,8,FALSE)</x:f>
        <x:v>12089.25</x:v>
      </x:c>
      <x:c r="I28" s="188" t="n">
        <x:v>12</x:v>
      </x:c>
      <x:c r="J28" s="189" t="n">
        <x:f>Assumptions!$B$4</x:f>
        <x:v>0.7</x:v>
      </x:c>
      <x:c r="K28" s="175" t="n">
        <x:f>0.90+(VLOOKUP(B28,'Hex Balance'!$A$2:$U$36,14,FALSE)/100)*0.35</x:f>
        <x:v>1.16845</x:v>
      </x:c>
      <x:c r="L28" s="149" t="n">
        <x:f>IF(OR(E28="Starter Grant",E28="Frontier Deed"),0,ROUND(H28*I28*J28*K28/Assumptions!$B$15,0)*Assumptions!$B$15)</x:f>
        <x:v>118700</x:v>
      </x:c>
      <x:c r="M28" s="173" t="n">
        <x:f>IF(L28=0,0,L28/(H28*J28))</x:f>
        <x:v>14.026629325345127</x:v>
      </x:c>
      <x:c r="N28" s="107" t="str">
        <x:v>Must border an owned parcel; rare Trophy level gate may also apply.</x:v>
      </x:c>
      <x:c r="O28" s="107" t="str">
        <x:v>Derived from economy, not manually painted.</x:v>
      </x:c>
      <x:c r="P28" s="105"/>
      <x:c r="Q28" s="105"/>
      <x:c r="R28" s="105"/>
      <x:c r="S28" s="105"/>
      <x:c r="T28" s="105"/>
      <x:c r="U28" s="105"/>
    </x:row>
    <x:row r="29">
      <x:c r="A29" s="107" t="n">
        <x:v>28</x:v>
      </x:c>
      <x:c r="B29" s="107" t="str">
        <x:v>A08</x:v>
      </x:c>
      <x:c r="C29" s="107" t="n">
        <x:v>26</x:v>
      </x:c>
      <x:c r="D29" s="174" t="str">
        <x:f>VLOOKUP(B29,'Hex Balance'!$A$2:$U$36,15,FALSE)</x:f>
        <x:v>Prime</x:v>
      </x:c>
      <x:c r="E29" s="174" t="str">
        <x:v>Cash Purchase</x:v>
      </x:c>
      <x:c r="F29" s="174" t="n">
        <x:f>MAX(11,VLOOKUP(B29,'Hex Balance'!$A$2:$U$36,20,FALSE))</x:f>
        <x:v>11</x:v>
      </x:c>
      <x:c r="G29" s="174" t="n">
        <x:v>11</x:v>
      </x:c>
      <x:c r="H29" s="149" t="n">
        <x:f>VLOOKUP(F29,'Cash Flow Model'!$A$2:$H$25,8,FALSE)</x:f>
        <x:v>12089.25</x:v>
      </x:c>
      <x:c r="I29" s="188" t="n">
        <x:v>12</x:v>
      </x:c>
      <x:c r="J29" s="189" t="n">
        <x:f>Assumptions!$B$4</x:f>
        <x:v>0.7</x:v>
      </x:c>
      <x:c r="K29" s="175" t="n">
        <x:f>0.90+(VLOOKUP(B29,'Hex Balance'!$A$2:$U$36,14,FALSE)/100)*0.35</x:f>
        <x:v>1.173</x:v>
      </x:c>
      <x:c r="L29" s="149" t="n">
        <x:f>IF(OR(E29="Starter Grant",E29="Frontier Deed"),0,ROUND(H29*I29*J29*K29/Assumptions!$B$15,0)*Assumptions!$B$15)</x:f>
        <x:v>119100</x:v>
      </x:c>
      <x:c r="M29" s="173" t="n">
        <x:f>IF(L29=0,0,L29/(H29*J29))</x:f>
        <x:v>14.073896820965498</x:v>
      </x:c>
      <x:c r="N29" s="107" t="str">
        <x:v>Must border an owned parcel; rare Trophy level gate may also apply.</x:v>
      </x:c>
      <x:c r="O29" s="107" t="str">
        <x:v>Derived from economy, not manually painted.</x:v>
      </x:c>
      <x:c r="P29" s="105"/>
      <x:c r="Q29" s="105"/>
      <x:c r="R29" s="105"/>
      <x:c r="S29" s="105"/>
      <x:c r="T29" s="105"/>
      <x:c r="U29" s="105"/>
    </x:row>
    <x:row r="30">
      <x:c r="A30" s="107" t="n">
        <x:v>29</x:v>
      </x:c>
      <x:c r="B30" s="107" t="str">
        <x:v>A01</x:v>
      </x:c>
      <x:c r="C30" s="107" t="n">
        <x:v>11</x:v>
      </x:c>
      <x:c r="D30" s="174" t="str">
        <x:f>VLOOKUP(B30,'Hex Balance'!$A$2:$U$36,15,FALSE)</x:f>
        <x:v>Prime</x:v>
      </x:c>
      <x:c r="E30" s="174" t="str">
        <x:v>Cash Purchase</x:v>
      </x:c>
      <x:c r="F30" s="174" t="n">
        <x:f>MAX(11,VLOOKUP(B30,'Hex Balance'!$A$2:$U$36,20,FALSE))</x:f>
        <x:v>11</x:v>
      </x:c>
      <x:c r="G30" s="174" t="n">
        <x:v>11</x:v>
      </x:c>
      <x:c r="H30" s="149" t="n">
        <x:f>VLOOKUP(F30,'Cash Flow Model'!$A$2:$H$25,8,FALSE)</x:f>
        <x:v>12089.25</x:v>
      </x:c>
      <x:c r="I30" s="188" t="n">
        <x:v>14</x:v>
      </x:c>
      <x:c r="J30" s="189" t="n">
        <x:f>Assumptions!$B$4</x:f>
        <x:v>0.7</x:v>
      </x:c>
      <x:c r="K30" s="175" t="n">
        <x:f>0.90+(VLOOKUP(B30,'Hex Balance'!$A$2:$U$36,14,FALSE)/100)*0.35</x:f>
        <x:v>1.1737</x:v>
      </x:c>
      <x:c r="L30" s="149" t="n">
        <x:f>IF(OR(E30="Starter Grant",E30="Frontier Deed"),0,ROUND(H30*I30*J30*K30/Assumptions!$B$15,0)*Assumptions!$B$15)</x:f>
        <x:v>139100</x:v>
      </x:c>
      <x:c r="M30" s="173" t="n">
        <x:f>IF(L30=0,0,L30/(H30*J30))</x:f>
        <x:v>16.43727160198405</x:v>
      </x:c>
      <x:c r="N30" s="107" t="str">
        <x:v>Must border an owned parcel; rare Trophy level gate may also apply.</x:v>
      </x:c>
      <x:c r="O30" s="107" t="str">
        <x:v>Late Growing premium sink</x:v>
      </x:c>
      <x:c r="P30" s="105"/>
      <x:c r="Q30" s="105"/>
      <x:c r="R30" s="105"/>
      <x:c r="S30" s="105"/>
      <x:c r="T30" s="105"/>
      <x:c r="U30" s="105"/>
    </x:row>
    <x:row r="31">
      <x:c r="A31" s="107" t="n">
        <x:v>30</x:v>
      </x:c>
      <x:c r="B31" s="107" t="str">
        <x:v>A07</x:v>
      </x:c>
      <x:c r="C31" s="107" t="n">
        <x:v>25</x:v>
      </x:c>
      <x:c r="D31" s="174" t="str">
        <x:f>VLOOKUP(B31,'Hex Balance'!$A$2:$U$36,15,FALSE)</x:f>
        <x:v>Prime</x:v>
      </x:c>
      <x:c r="E31" s="174" t="str">
        <x:v>Cash Purchase</x:v>
      </x:c>
      <x:c r="F31" s="174" t="n">
        <x:f>MAX(11,VLOOKUP(B31,'Hex Balance'!$A$2:$U$36,20,FALSE))</x:f>
        <x:v>11</x:v>
      </x:c>
      <x:c r="G31" s="174" t="n">
        <x:v>11</x:v>
      </x:c>
      <x:c r="H31" s="149" t="n">
        <x:f>VLOOKUP(F31,'Cash Flow Model'!$A$2:$H$25,8,FALSE)</x:f>
        <x:v>12089.25</x:v>
      </x:c>
      <x:c r="I31" s="188" t="n">
        <x:v>14</x:v>
      </x:c>
      <x:c r="J31" s="189" t="n">
        <x:f>Assumptions!$B$4</x:f>
        <x:v>0.7</x:v>
      </x:c>
      <x:c r="K31" s="175" t="n">
        <x:f>0.90+(VLOOKUP(B31,'Hex Balance'!$A$2:$U$36,14,FALSE)/100)*0.35</x:f>
        <x:v>1.1807</x:v>
      </x:c>
      <x:c r="L31" s="149" t="n">
        <x:f>IF(OR(E31="Starter Grant",E31="Frontier Deed"),0,ROUND(H31*I31*J31*K31/Assumptions!$B$15,0)*Assumptions!$B$15)</x:f>
        <x:v>139900</x:v>
      </x:c>
      <x:c r="M31" s="173" t="n">
        <x:f>IF(L31=0,0,L31/(H31*J31))</x:f>
        <x:v>16.531806593224793</x:v>
      </x:c>
      <x:c r="N31" s="107" t="str">
        <x:v>Must border an owned parcel; rare Trophy level gate may also apply.</x:v>
      </x:c>
      <x:c r="O31" s="107" t="str">
        <x:v>Late Growing premium sink</x:v>
      </x:c>
      <x:c r="P31" s="105"/>
      <x:c r="Q31" s="105"/>
      <x:c r="R31" s="105"/>
      <x:c r="S31" s="105"/>
      <x:c r="T31" s="105"/>
      <x:c r="U31" s="105"/>
    </x:row>
    <x:row r="32">
      <x:c r="A32" s="107" t="n">
        <x:v>31</x:v>
      </x:c>
      <x:c r="B32" s="107" t="str">
        <x:v>A02</x:v>
      </x:c>
      <x:c r="C32" s="107" t="n">
        <x:v>12</x:v>
      </x:c>
      <x:c r="D32" s="174" t="str">
        <x:f>VLOOKUP(B32,'Hex Balance'!$A$2:$U$36,15,FALSE)</x:f>
        <x:v>Prime</x:v>
      </x:c>
      <x:c r="E32" s="174" t="str">
        <x:v>Cash Purchase</x:v>
      </x:c>
      <x:c r="F32" s="174" t="n">
        <x:f>MAX(12,VLOOKUP(B32,'Hex Balance'!$A$2:$U$36,20,FALSE))</x:f>
        <x:v>12</x:v>
      </x:c>
      <x:c r="G32" s="174" t="n">
        <x:v>12</x:v>
      </x:c>
      <x:c r="H32" s="149" t="n">
        <x:f>VLOOKUP(F32,'Cash Flow Model'!$A$2:$H$25,8,FALSE)</x:f>
        <x:v>16376.85</x:v>
      </x:c>
      <x:c r="I32" s="188" t="n">
        <x:v>14</x:v>
      </x:c>
      <x:c r="J32" s="189" t="n">
        <x:f>Assumptions!$B$4</x:f>
        <x:v>0.7</x:v>
      </x:c>
      <x:c r="K32" s="175" t="n">
        <x:f>0.90+(VLOOKUP(B32,'Hex Balance'!$A$2:$U$36,14,FALSE)/100)*0.35</x:f>
        <x:v>1.18175</x:v>
      </x:c>
      <x:c r="L32" s="149" t="n">
        <x:f>IF(OR(E32="Starter Grant",E32="Frontier Deed"),0,ROUND(H32*I32*J32*K32/Assumptions!$B$15,0)*Assumptions!$B$15)</x:f>
        <x:v>189700</x:v>
      </x:c>
      <x:c r="M32" s="173" t="n">
        <x:f>IF(L32=0,0,L32/(H32*J32))</x:f>
        <x:v>16.54774880395192</x:v>
      </x:c>
      <x:c r="N32" s="107" t="str">
        <x:v>Must border an owned parcel; rare Trophy level gate may also apply.</x:v>
      </x:c>
      <x:c r="O32" s="107" t="str">
        <x:v>Late Growing premium sink</x:v>
      </x:c>
      <x:c r="P32" s="105"/>
      <x:c r="Q32" s="105"/>
      <x:c r="R32" s="105"/>
      <x:c r="S32" s="105"/>
      <x:c r="T32" s="105"/>
      <x:c r="U32" s="105"/>
    </x:row>
    <x:row r="33">
      <x:c r="A33" s="107" t="n">
        <x:v>32</x:v>
      </x:c>
      <x:c r="B33" s="107" t="str">
        <x:v>A05</x:v>
      </x:c>
      <x:c r="C33" s="107" t="n">
        <x:v>19</x:v>
      </x:c>
      <x:c r="D33" s="174" t="str">
        <x:f>VLOOKUP(B33,'Hex Balance'!$A$2:$U$36,15,FALSE)</x:f>
        <x:v>Prime</x:v>
      </x:c>
      <x:c r="E33" s="174" t="str">
        <x:v>Cash Purchase</x:v>
      </x:c>
      <x:c r="F33" s="174" t="n">
        <x:f>MAX(12,VLOOKUP(B33,'Hex Balance'!$A$2:$U$36,20,FALSE))</x:f>
        <x:v>12</x:v>
      </x:c>
      <x:c r="G33" s="174" t="n">
        <x:v>12</x:v>
      </x:c>
      <x:c r="H33" s="149" t="n">
        <x:f>VLOOKUP(F33,'Cash Flow Model'!$A$2:$H$25,8,FALSE)</x:f>
        <x:v>16376.85</x:v>
      </x:c>
      <x:c r="I33" s="188" t="n">
        <x:v>14</x:v>
      </x:c>
      <x:c r="J33" s="189" t="n">
        <x:f>Assumptions!$B$4</x:f>
        <x:v>0.7</x:v>
      </x:c>
      <x:c r="K33" s="175" t="n">
        <x:f>0.90+(VLOOKUP(B33,'Hex Balance'!$A$2:$U$36,14,FALSE)/100)*0.35</x:f>
        <x:v>1.18665</x:v>
      </x:c>
      <x:c r="L33" s="149" t="n">
        <x:f>IF(OR(E33="Starter Grant",E33="Frontier Deed"),0,ROUND(H33*I33*J33*K33/Assumptions!$B$15,0)*Assumptions!$B$15)</x:f>
        <x:v>190400</x:v>
      </x:c>
      <x:c r="M33" s="173" t="n">
        <x:f>IF(L33=0,0,L33/(H33*J33))</x:f>
        <x:v>16.60881060765654</x:v>
      </x:c>
      <x:c r="N33" s="107" t="str">
        <x:v>Must border an owned parcel; rare Trophy level gate may also apply.</x:v>
      </x:c>
      <x:c r="O33" s="107" t="str">
        <x:v>Late Growing premium sink</x:v>
      </x:c>
      <x:c r="P33" s="105"/>
      <x:c r="Q33" s="105"/>
      <x:c r="R33" s="105"/>
      <x:c r="S33" s="105"/>
      <x:c r="T33" s="105"/>
      <x:c r="U33" s="105"/>
    </x:row>
    <x:row r="34">
      <x:c r="A34" s="107" t="n">
        <x:v>33</x:v>
      </x:c>
      <x:c r="B34" s="107" t="str">
        <x:v>A03</x:v>
      </x:c>
      <x:c r="C34" s="107" t="n">
        <x:v>14</x:v>
      </x:c>
      <x:c r="D34" s="174" t="str">
        <x:f>VLOOKUP(B34,'Hex Balance'!$A$2:$U$36,15,FALSE)</x:f>
        <x:v>Prime</x:v>
      </x:c>
      <x:c r="E34" s="174" t="str">
        <x:v>Cash Purchase</x:v>
      </x:c>
      <x:c r="F34" s="174" t="n">
        <x:f>MAX(12,VLOOKUP(B34,'Hex Balance'!$A$2:$U$36,20,FALSE))</x:f>
        <x:v>12</x:v>
      </x:c>
      <x:c r="G34" s="174" t="n">
        <x:v>12</x:v>
      </x:c>
      <x:c r="H34" s="149" t="n">
        <x:f>VLOOKUP(F34,'Cash Flow Model'!$A$2:$H$25,8,FALSE)</x:f>
        <x:v>16376.85</x:v>
      </x:c>
      <x:c r="I34" s="188" t="n">
        <x:v>18</x:v>
      </x:c>
      <x:c r="J34" s="189" t="n">
        <x:f>Assumptions!$B$4</x:f>
        <x:v>0.7</x:v>
      </x:c>
      <x:c r="K34" s="175" t="n">
        <x:f>0.90+(VLOOKUP(B34,'Hex Balance'!$A$2:$U$36,14,FALSE)/100)*0.35</x:f>
        <x:v>1.19295</x:v>
      </x:c>
      <x:c r="L34" s="149" t="n">
        <x:f>IF(OR(E34="Starter Grant",E34="Frontier Deed"),0,ROUND(H34*I34*J34*K34/Assumptions!$B$15,0)*Assumptions!$B$15)</x:f>
        <x:v>246200</x:v>
      </x:c>
      <x:c r="M34" s="173" t="n">
        <x:f>IF(L34=0,0,L34/(H34*J34))</x:f>
        <x:v>21.47630867439622</x:v>
      </x:c>
      <x:c r="N34" s="107" t="str">
        <x:v>Must border an owned parcel; rare Trophy level gate may also apply.</x:v>
      </x:c>
      <x:c r="O34" s="107" t="str">
        <x:v>Late Growing premium sink</x:v>
      </x:c>
      <x:c r="P34" s="105"/>
      <x:c r="Q34" s="105"/>
      <x:c r="R34" s="105"/>
      <x:c r="S34" s="105"/>
      <x:c r="T34" s="105"/>
      <x:c r="U34" s="105"/>
    </x:row>
    <x:row r="35">
      <x:c r="A35" s="107" t="n">
        <x:v>34</x:v>
      </x:c>
      <x:c r="B35" s="107" t="str">
        <x:v>A06</x:v>
      </x:c>
      <x:c r="C35" s="107" t="n">
        <x:v>20</x:v>
      </x:c>
      <x:c r="D35" s="174" t="str">
        <x:f>VLOOKUP(B35,'Hex Balance'!$A$2:$U$36,15,FALSE)</x:f>
        <x:v>Prime</x:v>
      </x:c>
      <x:c r="E35" s="174" t="str">
        <x:v>Cash Purchase</x:v>
      </x:c>
      <x:c r="F35" s="174" t="n">
        <x:f>MAX(12,VLOOKUP(B35,'Hex Balance'!$A$2:$U$36,20,FALSE))</x:f>
        <x:v>12</x:v>
      </x:c>
      <x:c r="G35" s="174" t="n">
        <x:v>12</x:v>
      </x:c>
      <x:c r="H35" s="149" t="n">
        <x:f>VLOOKUP(F35,'Cash Flow Model'!$A$2:$H$25,8,FALSE)</x:f>
        <x:v>16376.85</x:v>
      </x:c>
      <x:c r="I35" s="188" t="n">
        <x:v>18</x:v>
      </x:c>
      <x:c r="J35" s="189" t="n">
        <x:f>Assumptions!$B$4</x:f>
        <x:v>0.7</x:v>
      </x:c>
      <x:c r="K35" s="175" t="n">
        <x:f>0.90+(VLOOKUP(B35,'Hex Balance'!$A$2:$U$36,14,FALSE)/100)*0.35</x:f>
        <x:v>1.1933</x:v>
      </x:c>
      <x:c r="L35" s="149" t="n">
        <x:f>IF(OR(E35="Starter Grant",E35="Frontier Deed"),0,ROUND(H35*I35*J35*K35/Assumptions!$B$15,0)*Assumptions!$B$15)</x:f>
        <x:v>246200</x:v>
      </x:c>
      <x:c r="M35" s="173" t="n">
        <x:f>IF(L35=0,0,L35/(H35*J35))</x:f>
        <x:v>21.47630867439622</x:v>
      </x:c>
      <x:c r="N35" s="107" t="str">
        <x:v>Must border an owned parcel; rare Trophy level gate may also apply.</x:v>
      </x:c>
      <x:c r="O35" s="107" t="str">
        <x:v>Late Growing premium sink</x:v>
      </x:c>
      <x:c r="P35" s="105"/>
      <x:c r="Q35" s="105"/>
      <x:c r="R35" s="105"/>
      <x:c r="S35" s="105"/>
      <x:c r="T35" s="105"/>
      <x:c r="U35" s="105"/>
    </x:row>
    <x:row r="36">
      <x:c r="A36" s="107" t="n">
        <x:v>35</x:v>
      </x:c>
      <x:c r="B36" s="107" t="str">
        <x:v>A04</x:v>
      </x:c>
      <x:c r="C36" s="107" t="n">
        <x:v>16</x:v>
      </x:c>
      <x:c r="D36" s="174" t="str">
        <x:f>VLOOKUP(B36,'Hex Balance'!$A$2:$U$36,15,FALSE)</x:f>
        <x:v>Trophy</x:v>
      </x:c>
      <x:c r="E36" s="174" t="str">
        <x:v>Cash Purchase</x:v>
      </x:c>
      <x:c r="F36" s="174" t="n">
        <x:f>MAX(12,VLOOKUP(B36,'Hex Balance'!$A$2:$U$36,20,FALSE))</x:f>
        <x:v>12</x:v>
      </x:c>
      <x:c r="G36" s="174" t="n">
        <x:v>12</x:v>
      </x:c>
      <x:c r="H36" s="149" t="n">
        <x:f>VLOOKUP(F36,'Cash Flow Model'!$A$2:$H$25,8,FALSE)</x:f>
        <x:v>16376.85</x:v>
      </x:c>
      <x:c r="I36" s="188" t="n">
        <x:v>18</x:v>
      </x:c>
      <x:c r="J36" s="189" t="n">
        <x:f>Assumptions!$B$4</x:f>
        <x:v>0.7</x:v>
      </x:c>
      <x:c r="K36" s="175" t="n">
        <x:f>0.90+(VLOOKUP(B36,'Hex Balance'!$A$2:$U$36,14,FALSE)/100)*0.35</x:f>
        <x:v>1.201</x:v>
      </x:c>
      <x:c r="L36" s="149" t="n">
        <x:f>IF(OR(E36="Starter Grant",E36="Frontier Deed"),0,ROUND(H36*I36*J36*K36/Assumptions!$B$15,0)*Assumptions!$B$15)</x:f>
        <x:v>247800</x:v>
      </x:c>
      <x:c r="M36" s="173" t="n">
        <x:f>IF(L36=0,0,L36/(H36*J36))</x:f>
        <x:v>21.615878511435348</x:v>
      </x:c>
      <x:c r="N36" s="107" t="str">
        <x:v>Must border an owned parcel; rare Trophy level gate may also apply.</x:v>
      </x:c>
      <x:c r="O36" s="107" t="str">
        <x:v>Late Growing premium sink</x:v>
      </x:c>
      <x:c r="P36" s="105"/>
      <x:c r="Q36" s="105"/>
      <x:c r="R36" s="105"/>
      <x:c r="S36" s="105"/>
      <x:c r="T36" s="105"/>
      <x:c r="U36" s="105"/>
    </x:row>
    <x:row r="37">
      <x:c r="A37" s="105"/>
      <x:c r="B37" s="105"/>
      <x:c r="C37" s="105"/>
      <x:c r="D37" s="105"/>
      <x:c r="E37" s="105"/>
      <x:c r="F37" s="105"/>
      <x:c r="G37" s="105"/>
      <x:c r="H37" s="105"/>
      <x:c r="I37" s="105"/>
      <x:c r="J37" s="105"/>
      <x:c r="K37" s="105"/>
      <x:c r="L37" s="105"/>
      <x:c r="M37" s="105"/>
      <x:c r="N37" s="105"/>
      <x:c r="O37" s="105"/>
      <x:c r="P37" s="105"/>
      <x:c r="Q37" s="105"/>
      <x:c r="R37" s="105"/>
      <x:c r="S37" s="105"/>
      <x:c r="T37" s="105"/>
      <x:c r="U37" s="105"/>
    </x:row>
    <x:row r="38">
      <x:c r="A38" s="105"/>
      <x:c r="B38" s="105"/>
      <x:c r="C38" s="105"/>
      <x:c r="D38" s="105"/>
      <x:c r="E38" s="105"/>
      <x:c r="F38" s="105"/>
      <x:c r="G38" s="105"/>
      <x:c r="H38" s="105"/>
      <x:c r="I38" s="105"/>
      <x:c r="J38" s="105"/>
      <x:c r="K38" s="105"/>
      <x:c r="L38" s="105"/>
      <x:c r="M38" s="105"/>
      <x:c r="N38" s="105"/>
      <x:c r="O38" s="105"/>
      <x:c r="P38" s="105"/>
      <x:c r="Q38" s="105"/>
      <x:c r="R38" s="105"/>
      <x:c r="S38" s="105"/>
      <x:c r="T38" s="105"/>
      <x:c r="U38" s="105"/>
    </x:row>
    <x:row r="39">
      <x:c r="A39" s="105"/>
      <x:c r="B39" s="105"/>
      <x:c r="C39" s="105"/>
      <x:c r="D39" s="105"/>
      <x:c r="E39" s="105"/>
      <x:c r="F39" s="105"/>
      <x:c r="G39" s="105"/>
      <x:c r="H39" s="105"/>
      <x:c r="I39" s="105"/>
      <x:c r="J39" s="105"/>
      <x:c r="K39" s="105"/>
      <x:c r="L39" s="105"/>
      <x:c r="M39" s="105"/>
      <x:c r="N39" s="105"/>
      <x:c r="O39" s="105"/>
      <x:c r="P39" s="105"/>
      <x:c r="Q39" s="105"/>
      <x:c r="R39" s="105"/>
      <x:c r="S39" s="105"/>
      <x:c r="T39" s="105"/>
      <x:c r="U39" s="105"/>
    </x:row>
    <x:row r="40">
      <x:c r="A40" s="105"/>
      <x:c r="B40" s="105"/>
      <x:c r="C40" s="105"/>
      <x:c r="D40" s="105"/>
      <x:c r="E40" s="105"/>
      <x:c r="F40" s="105"/>
      <x:c r="G40" s="105"/>
      <x:c r="H40" s="105"/>
      <x:c r="I40" s="105"/>
      <x:c r="J40" s="105"/>
      <x:c r="K40" s="105"/>
      <x:c r="L40" s="105"/>
      <x:c r="M40" s="105"/>
      <x:c r="N40" s="105"/>
      <x:c r="O40" s="105"/>
      <x:c r="P40" s="105"/>
      <x:c r="Q40" s="105"/>
      <x:c r="R40" s="105"/>
      <x:c r="S40" s="105"/>
      <x:c r="T40" s="105"/>
      <x:c r="U40" s="105"/>
    </x:row>
    <x:row r="41">
      <x:c r="A41" s="105"/>
      <x:c r="B41" s="105"/>
      <x:c r="C41" s="105"/>
      <x:c r="D41" s="105"/>
      <x:c r="E41" s="105"/>
      <x:c r="F41" s="105"/>
      <x:c r="G41" s="105"/>
      <x:c r="H41" s="105"/>
      <x:c r="I41" s="105"/>
      <x:c r="J41" s="105"/>
      <x:c r="K41" s="105"/>
      <x:c r="L41" s="105"/>
      <x:c r="M41" s="105"/>
      <x:c r="N41" s="105"/>
      <x:c r="O41" s="105"/>
      <x:c r="P41" s="105"/>
      <x:c r="Q41" s="105"/>
      <x:c r="R41" s="105"/>
      <x:c r="S41" s="105"/>
      <x:c r="T41" s="105"/>
      <x:c r="U41" s="105"/>
    </x:row>
    <x:row r="42">
      <x:c r="A42" s="105"/>
      <x:c r="B42" s="105"/>
      <x:c r="C42" s="105"/>
      <x:c r="D42" s="105"/>
      <x:c r="E42" s="105"/>
      <x:c r="F42" s="105"/>
      <x:c r="G42" s="105"/>
      <x:c r="H42" s="105"/>
      <x:c r="I42" s="105"/>
      <x:c r="J42" s="105"/>
      <x:c r="K42" s="105"/>
      <x:c r="L42" s="105"/>
      <x:c r="M42" s="105"/>
      <x:c r="N42" s="105"/>
      <x:c r="O42" s="105"/>
      <x:c r="P42" s="105"/>
      <x:c r="Q42" s="105"/>
      <x:c r="R42" s="105"/>
      <x:c r="S42" s="105"/>
      <x:c r="T42" s="105"/>
      <x:c r="U42" s="105"/>
    </x:row>
    <x:row r="43">
      <x:c r="A43" s="105"/>
      <x:c r="B43" s="105"/>
      <x:c r="C43" s="105"/>
      <x:c r="D43" s="105"/>
      <x:c r="E43" s="105"/>
      <x:c r="F43" s="105"/>
      <x:c r="G43" s="105"/>
      <x:c r="H43" s="105"/>
      <x:c r="I43" s="105"/>
      <x:c r="J43" s="105"/>
      <x:c r="K43" s="105"/>
      <x:c r="L43" s="105"/>
      <x:c r="M43" s="105"/>
      <x:c r="N43" s="105"/>
      <x:c r="O43" s="105"/>
      <x:c r="P43" s="105"/>
      <x:c r="Q43" s="105"/>
      <x:c r="R43" s="105"/>
      <x:c r="S43" s="105"/>
      <x:c r="T43" s="105"/>
      <x:c r="U43" s="105"/>
    </x:row>
    <x:row r="44">
      <x:c r="A44" s="105"/>
      <x:c r="B44" s="105"/>
      <x:c r="C44" s="105"/>
      <x:c r="D44" s="105"/>
      <x:c r="E44" s="105"/>
      <x:c r="F44" s="105"/>
      <x:c r="G44" s="105"/>
      <x:c r="H44" s="105"/>
      <x:c r="I44" s="105"/>
      <x:c r="J44" s="105"/>
      <x:c r="K44" s="105"/>
      <x:c r="L44" s="105"/>
      <x:c r="M44" s="105"/>
      <x:c r="N44" s="105"/>
      <x:c r="O44" s="105"/>
      <x:c r="P44" s="105"/>
      <x:c r="Q44" s="105"/>
      <x:c r="R44" s="105"/>
      <x:c r="S44" s="105"/>
      <x:c r="T44" s="105"/>
      <x:c r="U44" s="105"/>
    </x:row>
    <x:row r="45">
      <x:c r="A45" s="105"/>
      <x:c r="B45" s="105"/>
      <x:c r="C45" s="105"/>
      <x:c r="D45" s="105"/>
      <x:c r="E45" s="105"/>
      <x:c r="F45" s="105"/>
      <x:c r="G45" s="105"/>
      <x:c r="H45" s="105"/>
      <x:c r="I45" s="105"/>
      <x:c r="J45" s="105"/>
      <x:c r="K45" s="105"/>
      <x:c r="L45" s="105"/>
      <x:c r="M45" s="105"/>
      <x:c r="N45" s="105"/>
      <x:c r="O45" s="105"/>
      <x:c r="P45" s="105"/>
      <x:c r="Q45" s="105"/>
      <x:c r="R45" s="105"/>
      <x:c r="S45" s="105"/>
      <x:c r="T45" s="105"/>
      <x:c r="U45" s="105"/>
    </x:row>
    <x:row r="46">
      <x:c r="A46" s="105"/>
      <x:c r="B46" s="105"/>
      <x:c r="C46" s="105"/>
      <x:c r="D46" s="105"/>
      <x:c r="E46" s="105"/>
      <x:c r="F46" s="105"/>
      <x:c r="G46" s="105"/>
      <x:c r="H46" s="105"/>
      <x:c r="I46" s="105"/>
      <x:c r="J46" s="105"/>
      <x:c r="K46" s="105"/>
      <x:c r="L46" s="105"/>
      <x:c r="M46" s="105"/>
      <x:c r="N46" s="105"/>
      <x:c r="O46" s="105"/>
      <x:c r="P46" s="105"/>
      <x:c r="Q46" s="105"/>
      <x:c r="R46" s="105"/>
      <x:c r="S46" s="105"/>
      <x:c r="T46" s="105"/>
      <x:c r="U46" s="105"/>
    </x:row>
    <x:row r="47">
      <x:c r="A47" s="105"/>
      <x:c r="B47" s="105"/>
      <x:c r="C47" s="105"/>
      <x:c r="D47" s="105"/>
      <x:c r="E47" s="105"/>
      <x:c r="F47" s="105"/>
      <x:c r="G47" s="105"/>
      <x:c r="H47" s="105"/>
      <x:c r="I47" s="105"/>
      <x:c r="J47" s="105"/>
      <x:c r="K47" s="105"/>
      <x:c r="L47" s="105"/>
      <x:c r="M47" s="105"/>
      <x:c r="N47" s="105"/>
      <x:c r="O47" s="105"/>
      <x:c r="P47" s="105"/>
      <x:c r="Q47" s="105"/>
      <x:c r="R47" s="105"/>
      <x:c r="S47" s="105"/>
      <x:c r="T47" s="105"/>
      <x:c r="U47" s="105"/>
    </x:row>
    <x:row r="48">
      <x:c r="A48" s="105"/>
      <x:c r="B48" s="105"/>
      <x:c r="C48" s="105"/>
      <x:c r="D48" s="105"/>
      <x:c r="E48" s="105"/>
      <x:c r="F48" s="105"/>
      <x:c r="G48" s="105"/>
      <x:c r="H48" s="105"/>
      <x:c r="I48" s="105"/>
      <x:c r="J48" s="105"/>
      <x:c r="K48" s="105"/>
      <x:c r="L48" s="105"/>
      <x:c r="M48" s="105"/>
      <x:c r="N48" s="105"/>
      <x:c r="O48" s="105"/>
      <x:c r="P48" s="105"/>
      <x:c r="Q48" s="105"/>
      <x:c r="R48" s="105"/>
      <x:c r="S48" s="105"/>
      <x:c r="T48" s="105"/>
      <x:c r="U48" s="105"/>
    </x:row>
    <x:row r="49">
      <x:c r="A49" s="105"/>
      <x:c r="B49" s="105"/>
      <x:c r="C49" s="105"/>
      <x:c r="D49" s="105"/>
      <x:c r="E49" s="105"/>
      <x:c r="F49" s="105"/>
      <x:c r="G49" s="105"/>
      <x:c r="H49" s="105"/>
      <x:c r="I49" s="105"/>
      <x:c r="J49" s="105"/>
      <x:c r="K49" s="105"/>
      <x:c r="L49" s="105"/>
      <x:c r="M49" s="105"/>
      <x:c r="N49" s="105"/>
      <x:c r="O49" s="105"/>
      <x:c r="P49" s="105"/>
      <x:c r="Q49" s="105"/>
      <x:c r="R49" s="105"/>
      <x:c r="S49" s="105"/>
      <x:c r="T49" s="105"/>
      <x:c r="U49" s="105"/>
    </x:row>
    <x:row r="50">
      <x:c r="A50" s="105"/>
      <x:c r="B50" s="105"/>
      <x:c r="C50" s="105"/>
      <x:c r="D50" s="105"/>
      <x:c r="E50" s="105"/>
      <x:c r="F50" s="105"/>
      <x:c r="G50" s="105"/>
      <x:c r="H50" s="105"/>
      <x:c r="I50" s="105"/>
      <x:c r="J50" s="105"/>
      <x:c r="K50" s="105"/>
      <x:c r="L50" s="105"/>
      <x:c r="M50" s="105"/>
      <x:c r="N50" s="105"/>
      <x:c r="O50" s="105"/>
      <x:c r="P50" s="105"/>
      <x:c r="Q50" s="105"/>
      <x:c r="R50" s="105"/>
      <x:c r="S50" s="105"/>
      <x:c r="T50" s="105"/>
      <x:c r="U50" s="105"/>
    </x:row>
    <x:row r="51">
      <x:c r="A51" s="105"/>
      <x:c r="B51" s="105"/>
      <x:c r="C51" s="105"/>
      <x:c r="D51" s="105"/>
      <x:c r="E51" s="105"/>
      <x:c r="F51" s="105"/>
      <x:c r="G51" s="105"/>
      <x:c r="H51" s="105"/>
      <x:c r="I51" s="105"/>
      <x:c r="J51" s="105"/>
      <x:c r="K51" s="105"/>
      <x:c r="L51" s="105"/>
      <x:c r="M51" s="105"/>
      <x:c r="N51" s="105"/>
      <x:c r="O51" s="105"/>
      <x:c r="P51" s="105"/>
      <x:c r="Q51" s="105"/>
      <x:c r="R51" s="105"/>
      <x:c r="S51" s="105"/>
      <x:c r="T51" s="105"/>
      <x:c r="U51" s="105"/>
    </x:row>
    <x:row r="52">
      <x:c r="A52" s="105"/>
      <x:c r="B52" s="105"/>
      <x:c r="C52" s="105"/>
      <x:c r="D52" s="105"/>
      <x:c r="E52" s="105"/>
      <x:c r="F52" s="105"/>
      <x:c r="G52" s="105"/>
      <x:c r="H52" s="105"/>
      <x:c r="I52" s="105"/>
      <x:c r="J52" s="105"/>
      <x:c r="K52" s="105"/>
      <x:c r="L52" s="105"/>
      <x:c r="M52" s="105"/>
      <x:c r="N52" s="105"/>
      <x:c r="O52" s="105"/>
      <x:c r="P52" s="105"/>
      <x:c r="Q52" s="105"/>
      <x:c r="R52" s="105"/>
      <x:c r="S52" s="105"/>
      <x:c r="T52" s="105"/>
      <x:c r="U52" s="105"/>
    </x:row>
    <x:row r="53">
      <x:c r="A53" s="105"/>
      <x:c r="B53" s="105"/>
      <x:c r="C53" s="105"/>
      <x:c r="D53" s="105"/>
      <x:c r="E53" s="105"/>
      <x:c r="F53" s="105"/>
      <x:c r="G53" s="105"/>
      <x:c r="H53" s="105"/>
      <x:c r="I53" s="105"/>
      <x:c r="J53" s="105"/>
      <x:c r="K53" s="105"/>
      <x:c r="L53" s="105"/>
      <x:c r="M53" s="105"/>
      <x:c r="N53" s="105"/>
      <x:c r="O53" s="105"/>
      <x:c r="P53" s="105"/>
      <x:c r="Q53" s="105"/>
      <x:c r="R53" s="105"/>
      <x:c r="S53" s="105"/>
      <x:c r="T53" s="105"/>
      <x:c r="U53" s="105"/>
    </x:row>
    <x:row r="54">
      <x:c r="A54" s="105"/>
      <x:c r="B54" s="105"/>
      <x:c r="C54" s="105"/>
      <x:c r="D54" s="105"/>
      <x:c r="E54" s="105"/>
      <x:c r="F54" s="105"/>
      <x:c r="G54" s="105"/>
      <x:c r="H54" s="105"/>
      <x:c r="I54" s="105"/>
      <x:c r="J54" s="105"/>
      <x:c r="K54" s="105"/>
      <x:c r="L54" s="105"/>
      <x:c r="M54" s="105"/>
      <x:c r="N54" s="105"/>
      <x:c r="O54" s="105"/>
      <x:c r="P54" s="105"/>
      <x:c r="Q54" s="105"/>
      <x:c r="R54" s="105"/>
      <x:c r="S54" s="105"/>
      <x:c r="T54" s="105"/>
      <x:c r="U54" s="105"/>
    </x:row>
    <x:row r="55">
      <x:c r="A55" s="105"/>
      <x:c r="B55" s="105"/>
      <x:c r="C55" s="105"/>
      <x:c r="D55" s="105"/>
      <x:c r="E55" s="105"/>
      <x:c r="F55" s="105"/>
      <x:c r="G55" s="105"/>
      <x:c r="H55" s="105"/>
      <x:c r="I55" s="105"/>
      <x:c r="J55" s="105"/>
      <x:c r="K55" s="105"/>
      <x:c r="L55" s="105"/>
      <x:c r="M55" s="105"/>
      <x:c r="N55" s="105"/>
      <x:c r="O55" s="105"/>
      <x:c r="P55" s="105"/>
      <x:c r="Q55" s="105"/>
      <x:c r="R55" s="105"/>
      <x:c r="S55" s="105"/>
      <x:c r="T55" s="105"/>
      <x:c r="U55" s="105"/>
    </x:row>
    <x:row r="56">
      <x:c r="A56" s="105"/>
      <x:c r="B56" s="105"/>
      <x:c r="C56" s="105"/>
      <x:c r="D56" s="105"/>
      <x:c r="E56" s="105"/>
      <x:c r="F56" s="105"/>
      <x:c r="G56" s="105"/>
      <x:c r="H56" s="105"/>
      <x:c r="I56" s="105"/>
      <x:c r="J56" s="105"/>
      <x:c r="K56" s="105"/>
      <x:c r="L56" s="105"/>
      <x:c r="M56" s="105"/>
      <x:c r="N56" s="105"/>
      <x:c r="O56" s="105"/>
      <x:c r="P56" s="105"/>
      <x:c r="Q56" s="105"/>
      <x:c r="R56" s="105"/>
      <x:c r="S56" s="105"/>
      <x:c r="T56" s="105"/>
      <x:c r="U56" s="105"/>
    </x:row>
    <x:row r="57">
      <x:c r="A57" s="105"/>
      <x:c r="B57" s="105"/>
      <x:c r="C57" s="105"/>
      <x:c r="D57" s="105"/>
      <x:c r="E57" s="105"/>
      <x:c r="F57" s="105"/>
      <x:c r="G57" s="105"/>
      <x:c r="H57" s="105"/>
      <x:c r="I57" s="105"/>
      <x:c r="J57" s="105"/>
      <x:c r="K57" s="105"/>
      <x:c r="L57" s="105"/>
      <x:c r="M57" s="105"/>
      <x:c r="N57" s="105"/>
      <x:c r="O57" s="105"/>
      <x:c r="P57" s="105"/>
      <x:c r="Q57" s="105"/>
      <x:c r="R57" s="105"/>
      <x:c r="S57" s="105"/>
      <x:c r="T57" s="105"/>
      <x:c r="U57" s="105"/>
    </x:row>
    <x:row r="58">
      <x:c r="A58" s="105"/>
      <x:c r="B58" s="105"/>
      <x:c r="C58" s="105"/>
      <x:c r="D58" s="105"/>
      <x:c r="E58" s="105"/>
      <x:c r="F58" s="105"/>
      <x:c r="G58" s="105"/>
      <x:c r="H58" s="105"/>
      <x:c r="I58" s="105"/>
      <x:c r="J58" s="105"/>
      <x:c r="K58" s="105"/>
      <x:c r="L58" s="105"/>
      <x:c r="M58" s="105"/>
      <x:c r="N58" s="105"/>
      <x:c r="O58" s="105"/>
      <x:c r="P58" s="105"/>
      <x:c r="Q58" s="105"/>
      <x:c r="R58" s="105"/>
      <x:c r="S58" s="105"/>
      <x:c r="T58" s="105"/>
      <x:c r="U58" s="105"/>
    </x:row>
    <x:row r="59">
      <x:c r="A59" s="105"/>
      <x:c r="B59" s="105"/>
      <x:c r="C59" s="105"/>
      <x:c r="D59" s="105"/>
      <x:c r="E59" s="105"/>
      <x:c r="F59" s="105"/>
      <x:c r="G59" s="105"/>
      <x:c r="H59" s="105"/>
      <x:c r="I59" s="105"/>
      <x:c r="J59" s="105"/>
      <x:c r="K59" s="105"/>
      <x:c r="L59" s="105"/>
      <x:c r="M59" s="105"/>
      <x:c r="N59" s="105"/>
      <x:c r="O59" s="105"/>
      <x:c r="P59" s="105"/>
      <x:c r="Q59" s="105"/>
      <x:c r="R59" s="105"/>
      <x:c r="S59" s="105"/>
      <x:c r="T59" s="105"/>
      <x:c r="U59" s="105"/>
    </x:row>
    <x:row r="60">
      <x:c r="A60" s="105"/>
      <x:c r="B60" s="105"/>
      <x:c r="C60" s="105"/>
      <x:c r="D60" s="105"/>
      <x:c r="E60" s="105"/>
      <x:c r="F60" s="105"/>
      <x:c r="G60" s="105"/>
      <x:c r="H60" s="105"/>
      <x:c r="I60" s="105"/>
      <x:c r="J60" s="105"/>
      <x:c r="K60" s="105"/>
      <x:c r="L60" s="105"/>
      <x:c r="M60" s="105"/>
      <x:c r="N60" s="105"/>
      <x:c r="O60" s="105"/>
      <x:c r="P60" s="105"/>
      <x:c r="Q60" s="105"/>
      <x:c r="R60" s="105"/>
      <x:c r="S60" s="105"/>
      <x:c r="T60" s="105"/>
      <x:c r="U60" s="105"/>
    </x:row>
    <x:row r="61">
      <x:c r="A61" s="105"/>
      <x:c r="B61" s="105"/>
      <x:c r="C61" s="105"/>
      <x:c r="D61" s="105"/>
      <x:c r="E61" s="105"/>
      <x:c r="F61" s="105"/>
      <x:c r="G61" s="105"/>
      <x:c r="H61" s="105"/>
      <x:c r="I61" s="105"/>
      <x:c r="J61" s="105"/>
      <x:c r="K61" s="105"/>
      <x:c r="L61" s="105"/>
      <x:c r="M61" s="105"/>
      <x:c r="N61" s="105"/>
      <x:c r="O61" s="105"/>
      <x:c r="P61" s="105"/>
      <x:c r="Q61" s="105"/>
      <x:c r="R61" s="105"/>
      <x:c r="S61" s="105"/>
      <x:c r="T61" s="105"/>
      <x:c r="U61" s="105"/>
    </x:row>
    <x:row r="62">
      <x:c r="A62" s="105"/>
      <x:c r="B62" s="105"/>
      <x:c r="C62" s="105"/>
      <x:c r="D62" s="105"/>
      <x:c r="E62" s="105"/>
      <x:c r="F62" s="105"/>
      <x:c r="G62" s="105"/>
      <x:c r="H62" s="105"/>
      <x:c r="I62" s="105"/>
      <x:c r="J62" s="105"/>
      <x:c r="K62" s="105"/>
      <x:c r="L62" s="105"/>
      <x:c r="M62" s="105"/>
      <x:c r="N62" s="105"/>
      <x:c r="O62" s="105"/>
      <x:c r="P62" s="105"/>
      <x:c r="Q62" s="105"/>
      <x:c r="R62" s="105"/>
      <x:c r="S62" s="105"/>
      <x:c r="T62" s="105"/>
      <x:c r="U62" s="105"/>
    </x:row>
    <x:row r="63">
      <x:c r="A63" s="105"/>
      <x:c r="B63" s="105"/>
      <x:c r="C63" s="105"/>
      <x:c r="D63" s="105"/>
      <x:c r="E63" s="105"/>
      <x:c r="F63" s="105"/>
      <x:c r="G63" s="105"/>
      <x:c r="H63" s="105"/>
      <x:c r="I63" s="105"/>
      <x:c r="J63" s="105"/>
      <x:c r="K63" s="105"/>
      <x:c r="L63" s="105"/>
      <x:c r="M63" s="105"/>
      <x:c r="N63" s="105"/>
      <x:c r="O63" s="105"/>
      <x:c r="P63" s="105"/>
      <x:c r="Q63" s="105"/>
      <x:c r="R63" s="105"/>
      <x:c r="S63" s="105"/>
      <x:c r="T63" s="105"/>
      <x:c r="U63" s="105"/>
    </x:row>
    <x:row r="64">
      <x:c r="A64" s="105"/>
      <x:c r="B64" s="105"/>
      <x:c r="C64" s="105"/>
      <x:c r="D64" s="105"/>
      <x:c r="E64" s="105"/>
      <x:c r="F64" s="105"/>
      <x:c r="G64" s="105"/>
      <x:c r="H64" s="105"/>
      <x:c r="I64" s="105"/>
      <x:c r="J64" s="105"/>
      <x:c r="K64" s="105"/>
      <x:c r="L64" s="105"/>
      <x:c r="M64" s="105"/>
      <x:c r="N64" s="105"/>
      <x:c r="O64" s="105"/>
      <x:c r="P64" s="105"/>
      <x:c r="Q64" s="105"/>
      <x:c r="R64" s="105"/>
      <x:c r="S64" s="105"/>
      <x:c r="T64" s="105"/>
      <x:c r="U64" s="105"/>
    </x:row>
    <x:row r="65">
      <x:c r="A65" s="105"/>
      <x:c r="B65" s="105"/>
      <x:c r="C65" s="105"/>
      <x:c r="D65" s="105"/>
      <x:c r="E65" s="105"/>
      <x:c r="F65" s="105"/>
      <x:c r="G65" s="105"/>
      <x:c r="H65" s="105"/>
      <x:c r="I65" s="105"/>
      <x:c r="J65" s="105"/>
      <x:c r="K65" s="105"/>
      <x:c r="L65" s="105"/>
      <x:c r="M65" s="105"/>
      <x:c r="N65" s="105"/>
      <x:c r="O65" s="105"/>
      <x:c r="P65" s="105"/>
      <x:c r="Q65" s="105"/>
      <x:c r="R65" s="105"/>
      <x:c r="S65" s="105"/>
      <x:c r="T65" s="105"/>
      <x:c r="U65" s="105"/>
    </x:row>
    <x:row r="66">
      <x:c r="A66" s="105"/>
      <x:c r="B66" s="105"/>
      <x:c r="C66" s="105"/>
      <x:c r="D66" s="105"/>
      <x:c r="E66" s="105"/>
      <x:c r="F66" s="105"/>
      <x:c r="G66" s="105"/>
      <x:c r="H66" s="105"/>
      <x:c r="I66" s="105"/>
      <x:c r="J66" s="105"/>
      <x:c r="K66" s="105"/>
      <x:c r="L66" s="105"/>
      <x:c r="M66" s="105"/>
      <x:c r="N66" s="105"/>
      <x:c r="O66" s="105"/>
      <x:c r="P66" s="105"/>
      <x:c r="Q66" s="105"/>
      <x:c r="R66" s="105"/>
      <x:c r="S66" s="105"/>
      <x:c r="T66" s="105"/>
      <x:c r="U66" s="105"/>
    </x:row>
    <x:row r="67">
      <x:c r="A67" s="105"/>
      <x:c r="B67" s="105"/>
      <x:c r="C67" s="105"/>
      <x:c r="D67" s="105"/>
      <x:c r="E67" s="105"/>
      <x:c r="F67" s="105"/>
      <x:c r="G67" s="105"/>
      <x:c r="H67" s="105"/>
      <x:c r="I67" s="105"/>
      <x:c r="J67" s="105"/>
      <x:c r="K67" s="105"/>
      <x:c r="L67" s="105"/>
      <x:c r="M67" s="105"/>
      <x:c r="N67" s="105"/>
      <x:c r="O67" s="105"/>
      <x:c r="P67" s="105"/>
      <x:c r="Q67" s="105"/>
      <x:c r="R67" s="105"/>
      <x:c r="S67" s="105"/>
      <x:c r="T67" s="105"/>
      <x:c r="U67" s="105"/>
    </x:row>
    <x:row r="68">
      <x:c r="A68" s="105"/>
      <x:c r="B68" s="105"/>
      <x:c r="C68" s="105"/>
      <x:c r="D68" s="105"/>
      <x:c r="E68" s="105"/>
      <x:c r="F68" s="105"/>
      <x:c r="G68" s="105"/>
      <x:c r="H68" s="105"/>
      <x:c r="I68" s="105"/>
      <x:c r="J68" s="105"/>
      <x:c r="K68" s="105"/>
      <x:c r="L68" s="105"/>
      <x:c r="M68" s="105"/>
      <x:c r="N68" s="105"/>
      <x:c r="O68" s="105"/>
      <x:c r="P68" s="105"/>
      <x:c r="Q68" s="105"/>
      <x:c r="R68" s="105"/>
      <x:c r="S68" s="105"/>
      <x:c r="T68" s="105"/>
      <x:c r="U68" s="105"/>
    </x:row>
    <x:row r="69">
      <x:c r="A69" s="105"/>
      <x:c r="B69" s="105"/>
      <x:c r="C69" s="105"/>
      <x:c r="D69" s="105"/>
      <x:c r="E69" s="105"/>
      <x:c r="F69" s="105"/>
      <x:c r="G69" s="105"/>
      <x:c r="H69" s="105"/>
      <x:c r="I69" s="105"/>
      <x:c r="J69" s="105"/>
      <x:c r="K69" s="105"/>
      <x:c r="L69" s="105"/>
      <x:c r="M69" s="105"/>
      <x:c r="N69" s="105"/>
      <x:c r="O69" s="105"/>
      <x:c r="P69" s="105"/>
      <x:c r="Q69" s="105"/>
      <x:c r="R69" s="105"/>
      <x:c r="S69" s="105"/>
      <x:c r="T69" s="105"/>
      <x:c r="U69" s="105"/>
    </x:row>
    <x:row r="70">
      <x:c r="A70" s="105"/>
      <x:c r="B70" s="105"/>
      <x:c r="C70" s="105"/>
      <x:c r="D70" s="105"/>
      <x:c r="E70" s="105"/>
      <x:c r="F70" s="105"/>
      <x:c r="G70" s="105"/>
      <x:c r="H70" s="105"/>
      <x:c r="I70" s="105"/>
      <x:c r="J70" s="105"/>
      <x:c r="K70" s="105"/>
      <x:c r="L70" s="105"/>
      <x:c r="M70" s="105"/>
      <x:c r="N70" s="105"/>
      <x:c r="O70" s="105"/>
      <x:c r="P70" s="105"/>
      <x:c r="Q70" s="105"/>
      <x:c r="R70" s="105"/>
      <x:c r="S70" s="105"/>
      <x:c r="T70" s="105"/>
      <x:c r="U70" s="105"/>
    </x:row>
    <x:row r="71">
      <x:c r="A71" s="105"/>
      <x:c r="B71" s="105"/>
      <x:c r="C71" s="105"/>
      <x:c r="D71" s="105"/>
      <x:c r="E71" s="105"/>
      <x:c r="F71" s="105"/>
      <x:c r="G71" s="105"/>
      <x:c r="H71" s="105"/>
      <x:c r="I71" s="105"/>
      <x:c r="J71" s="105"/>
      <x:c r="K71" s="105"/>
      <x:c r="L71" s="105"/>
      <x:c r="M71" s="105"/>
      <x:c r="N71" s="105"/>
      <x:c r="O71" s="105"/>
      <x:c r="P71" s="105"/>
      <x:c r="Q71" s="105"/>
      <x:c r="R71" s="105"/>
      <x:c r="S71" s="105"/>
      <x:c r="T71" s="105"/>
      <x:c r="U71" s="105"/>
    </x:row>
    <x:row r="72">
      <x:c r="A72" s="105"/>
      <x:c r="B72" s="105"/>
      <x:c r="C72" s="105"/>
      <x:c r="D72" s="105"/>
      <x:c r="E72" s="105"/>
      <x:c r="F72" s="105"/>
      <x:c r="G72" s="105"/>
      <x:c r="H72" s="105"/>
      <x:c r="I72" s="105"/>
      <x:c r="J72" s="105"/>
      <x:c r="K72" s="105"/>
      <x:c r="L72" s="105"/>
      <x:c r="M72" s="105"/>
      <x:c r="N72" s="105"/>
      <x:c r="O72" s="105"/>
      <x:c r="P72" s="105"/>
      <x:c r="Q72" s="105"/>
      <x:c r="R72" s="105"/>
      <x:c r="S72" s="105"/>
      <x:c r="T72" s="105"/>
      <x:c r="U72" s="105"/>
    </x:row>
    <x:row r="73">
      <x:c r="A73" s="105"/>
      <x:c r="B73" s="105"/>
      <x:c r="C73" s="105"/>
      <x:c r="D73" s="105"/>
      <x:c r="E73" s="105"/>
      <x:c r="F73" s="105"/>
      <x:c r="G73" s="105"/>
      <x:c r="H73" s="105"/>
      <x:c r="I73" s="105"/>
      <x:c r="J73" s="105"/>
      <x:c r="K73" s="105"/>
      <x:c r="L73" s="105"/>
      <x:c r="M73" s="105"/>
      <x:c r="N73" s="105"/>
      <x:c r="O73" s="105"/>
      <x:c r="P73" s="105"/>
      <x:c r="Q73" s="105"/>
      <x:c r="R73" s="105"/>
      <x:c r="S73" s="105"/>
      <x:c r="T73" s="105"/>
      <x:c r="U73" s="105"/>
    </x:row>
    <x:row r="74">
      <x:c r="A74" s="105"/>
      <x:c r="B74" s="105"/>
      <x:c r="C74" s="105"/>
      <x:c r="D74" s="105"/>
      <x:c r="E74" s="105"/>
      <x:c r="F74" s="105"/>
      <x:c r="G74" s="105"/>
      <x:c r="H74" s="105"/>
      <x:c r="I74" s="105"/>
      <x:c r="J74" s="105"/>
      <x:c r="K74" s="105"/>
      <x:c r="L74" s="105"/>
      <x:c r="M74" s="105"/>
      <x:c r="N74" s="105"/>
      <x:c r="O74" s="105"/>
      <x:c r="P74" s="105"/>
      <x:c r="Q74" s="105"/>
      <x:c r="R74" s="105"/>
      <x:c r="S74" s="105"/>
      <x:c r="T74" s="105"/>
      <x:c r="U74" s="105"/>
    </x:row>
    <x:row r="75">
      <x:c r="A75" s="105"/>
      <x:c r="B75" s="105"/>
      <x:c r="C75" s="105"/>
      <x:c r="D75" s="105"/>
      <x:c r="E75" s="105"/>
      <x:c r="F75" s="105"/>
      <x:c r="G75" s="105"/>
      <x:c r="H75" s="105"/>
      <x:c r="I75" s="105"/>
      <x:c r="J75" s="105"/>
      <x:c r="K75" s="105"/>
      <x:c r="L75" s="105"/>
      <x:c r="M75" s="105"/>
      <x:c r="N75" s="105"/>
      <x:c r="O75" s="105"/>
      <x:c r="P75" s="105"/>
      <x:c r="Q75" s="105"/>
      <x:c r="R75" s="105"/>
      <x:c r="S75" s="105"/>
      <x:c r="T75" s="105"/>
      <x:c r="U75" s="105"/>
    </x:row>
    <x:row r="76">
      <x:c r="A76" s="105"/>
      <x:c r="B76" s="105"/>
      <x:c r="C76" s="105"/>
      <x:c r="D76" s="105"/>
      <x:c r="E76" s="105"/>
      <x:c r="F76" s="105"/>
      <x:c r="G76" s="105"/>
      <x:c r="H76" s="105"/>
      <x:c r="I76" s="105"/>
      <x:c r="J76" s="105"/>
      <x:c r="K76" s="105"/>
      <x:c r="L76" s="105"/>
      <x:c r="M76" s="105"/>
      <x:c r="N76" s="105"/>
      <x:c r="O76" s="105"/>
      <x:c r="P76" s="105"/>
      <x:c r="Q76" s="105"/>
      <x:c r="R76" s="105"/>
      <x:c r="S76" s="105"/>
      <x:c r="T76" s="105"/>
      <x:c r="U76" s="105"/>
    </x:row>
    <x:row r="77">
      <x:c r="A77" s="105"/>
      <x:c r="B77" s="105"/>
      <x:c r="C77" s="105"/>
      <x:c r="D77" s="105"/>
      <x:c r="E77" s="105"/>
      <x:c r="F77" s="105"/>
      <x:c r="G77" s="105"/>
      <x:c r="H77" s="105"/>
      <x:c r="I77" s="105"/>
      <x:c r="J77" s="105"/>
      <x:c r="K77" s="105"/>
      <x:c r="L77" s="105"/>
      <x:c r="M77" s="105"/>
      <x:c r="N77" s="105"/>
      <x:c r="O77" s="105"/>
      <x:c r="P77" s="105"/>
      <x:c r="Q77" s="105"/>
      <x:c r="R77" s="105"/>
      <x:c r="S77" s="105"/>
      <x:c r="T77" s="105"/>
      <x:c r="U77" s="105"/>
    </x:row>
    <x:row r="78">
      <x:c r="A78" s="105"/>
      <x:c r="B78" s="105"/>
      <x:c r="C78" s="105"/>
      <x:c r="D78" s="105"/>
      <x:c r="E78" s="105"/>
      <x:c r="F78" s="105"/>
      <x:c r="G78" s="105"/>
      <x:c r="H78" s="105"/>
      <x:c r="I78" s="105"/>
      <x:c r="J78" s="105"/>
      <x:c r="K78" s="105"/>
      <x:c r="L78" s="105"/>
      <x:c r="M78" s="105"/>
      <x:c r="N78" s="105"/>
      <x:c r="O78" s="105"/>
      <x:c r="P78" s="105"/>
      <x:c r="Q78" s="105"/>
      <x:c r="R78" s="105"/>
      <x:c r="S78" s="105"/>
      <x:c r="T78" s="105"/>
      <x:c r="U78" s="105"/>
    </x:row>
    <x:row r="79">
      <x:c r="A79" s="105"/>
      <x:c r="B79" s="105"/>
      <x:c r="C79" s="105"/>
      <x:c r="D79" s="105"/>
      <x:c r="E79" s="105"/>
      <x:c r="F79" s="105"/>
      <x:c r="G79" s="105"/>
      <x:c r="H79" s="105"/>
      <x:c r="I79" s="105"/>
      <x:c r="J79" s="105"/>
      <x:c r="K79" s="105"/>
      <x:c r="L79" s="105"/>
      <x:c r="M79" s="105"/>
      <x:c r="N79" s="105"/>
      <x:c r="O79" s="105"/>
      <x:c r="P79" s="105"/>
      <x:c r="Q79" s="105"/>
      <x:c r="R79" s="105"/>
      <x:c r="S79" s="105"/>
      <x:c r="T79" s="105"/>
      <x:c r="U79" s="105"/>
    </x:row>
    <x:row r="80">
      <x:c r="A80" s="105"/>
      <x:c r="B80" s="105"/>
      <x:c r="C80" s="105"/>
      <x:c r="D80" s="105"/>
      <x:c r="E80" s="105"/>
      <x:c r="F80" s="105"/>
      <x:c r="G80" s="105"/>
      <x:c r="H80" s="105"/>
      <x:c r="I80" s="105"/>
      <x:c r="J80" s="105"/>
      <x:c r="K80" s="105"/>
      <x:c r="L80" s="105"/>
      <x:c r="M80" s="105"/>
      <x:c r="N80" s="105"/>
      <x:c r="O80" s="105"/>
      <x:c r="P80" s="105"/>
      <x:c r="Q80" s="105"/>
      <x:c r="R80" s="105"/>
      <x:c r="S80" s="105"/>
      <x:c r="T80" s="105"/>
      <x:c r="U80" s="105"/>
    </x:row>
  </x:sheetData>
  <x:conditionalFormatting sqref="L2:L36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{5A1573FD-60C4-6A7A-A72A-4E20EF777359}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A1573FD-60C4-6A7A-A72A-4E20EF777359}">
            <x14:dataBar gradient="1">
              <x14:cfvo type="min"/>
              <x14:cfvo type="max"/>
              <x14:fillColor rgb="FFA02B93"/>
            </x14:dataBar>
          </x14:cfRule>
          <xm:sqref>L2:L36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  <x:col min="6" max="6" width="36" hidden="0" customWidth="1"/>
    <x:col min="7" max="7" width="36" hidden="0" customWidth="1"/>
    <x:col min="8" max="8" width="36" hidden="0" customWidth="1"/>
  </x:cols>
  <x:sheetData>
    <x:row r="1">
      <x:c r="A1" s="140" t="str">
        <x:v>Landmark Type</x:v>
      </x:c>
      <x:c r="B1" s="140" t="str">
        <x:v>Primary Attributes</x:v>
      </x:c>
      <x:c r="C1" s="140" t="str">
        <x:v>Adjacent Bonus</x:v>
      </x:c>
      <x:c r="D1" s="140" t="str">
        <x:v>1-Hex Bonus</x:v>
      </x:c>
      <x:c r="E1" s="140" t="str">
        <x:v>2-Hex Bonus</x:v>
      </x:c>
      <x:c r="F1" s="140" t="str">
        <x:v>Best-Suited Economic Effects</x:v>
      </x:c>
      <x:c r="G1" s="140" t="str">
        <x:v>Implementation Status</x:v>
      </x:c>
      <x:c r="H1" s="140" t="str">
        <x:v>Notes</x:v>
      </x:c>
      <x:c r="I1" s="105"/>
      <x:c r="J1" s="105"/>
      <x:c r="K1" s="105"/>
      <x:c r="L1" s="105"/>
      <x:c r="M1" s="105"/>
      <x:c r="N1" s="105"/>
      <x:c r="O1" s="105"/>
      <x:c r="P1" s="105"/>
      <x:c r="Q1" s="105"/>
      <x:c r="R1" s="105"/>
      <x:c r="S1" s="105"/>
      <x:c r="T1" s="105"/>
      <x:c r="U1" s="105"/>
    </x:row>
    <x:row r="2">
      <x:c r="A2" s="107" t="str">
        <x:v>Commercial Tower Cluster</x:v>
      </x:c>
      <x:c r="B2" s="107" t="str">
        <x:v>Commerce, Capital, Prestige</x:v>
      </x:c>
      <x:c r="C2" s="172" t="str">
        <x:v>+12</x:v>
      </x:c>
      <x:c r="D2" s="172" t="str">
        <x:v>+7</x:v>
      </x:c>
      <x:c r="E2" s="172" t="str">
        <x:v>+3</x:v>
      </x:c>
      <x:c r="F2" s="107" t="str">
        <x:v>Demand, capital access, prestige</x:v>
      </x:c>
      <x:c r="G2" s="107" t="str">
        <x:v>Manual v0.2</x:v>
      </x:c>
      <x:c r="H2" s="107" t="str">
        <x:v>Convert to coordinate/radius formula when final map coordinates are locked.</x:v>
      </x:c>
      <x:c r="I2" s="105"/>
      <x:c r="J2" s="105"/>
      <x:c r="K2" s="105"/>
      <x:c r="L2" s="105"/>
      <x:c r="M2" s="105"/>
      <x:c r="N2" s="105"/>
      <x:c r="O2" s="105"/>
      <x:c r="P2" s="105"/>
      <x:c r="Q2" s="105"/>
      <x:c r="R2" s="105"/>
      <x:c r="S2" s="105"/>
      <x:c r="T2" s="105"/>
      <x:c r="U2" s="105"/>
    </x:row>
    <x:row r="3">
      <x:c r="A3" s="107" t="str">
        <x:v>Major Road / Junction</x:v>
      </x:c>
      <x:c r="B3" s="107" t="str">
        <x:v>Road, Footfall</x:v>
      </x:c>
      <x:c r="C3" s="172" t="str">
        <x:v>+12</x:v>
      </x:c>
      <x:c r="D3" s="172" t="str">
        <x:v>+6</x:v>
      </x:c>
      <x:c r="E3" s="172" t="str">
        <x:v>+2</x:v>
      </x:c>
      <x:c r="F3" s="107" t="str">
        <x:v>Acquisition, throughput</x:v>
      </x:c>
      <x:c r="G3" s="107" t="str">
        <x:v>Manual v0.2</x:v>
      </x:c>
      <x:c r="H3" s="107" t="str">
        <x:v>Road adjacency should be visually obvious.</x:v>
      </x:c>
      <x:c r="I3" s="105"/>
      <x:c r="J3" s="105"/>
      <x:c r="K3" s="105"/>
      <x:c r="L3" s="105"/>
      <x:c r="M3" s="105"/>
      <x:c r="N3" s="105"/>
      <x:c r="O3" s="105"/>
      <x:c r="P3" s="105"/>
      <x:c r="Q3" s="105"/>
      <x:c r="R3" s="105"/>
      <x:c r="S3" s="105"/>
      <x:c r="T3" s="105"/>
      <x:c r="U3" s="105"/>
    </x:row>
    <x:row r="4">
      <x:c r="A4" s="107" t="str">
        <x:v>Park / Green Amenity</x:v>
      </x:c>
      <x:c r="B4" s="107" t="str">
        <x:v>Amenity, Prestige</x:v>
      </x:c>
      <x:c r="C4" s="172" t="str">
        <x:v>+12</x:v>
      </x:c>
      <x:c r="D4" s="172" t="str">
        <x:v>+7</x:v>
      </x:c>
      <x:c r="E4" s="172" t="str">
        <x:v>+3</x:v>
      </x:c>
      <x:c r="F4" s="107" t="str">
        <x:v>Retention, premium mix</x:v>
      </x:c>
      <x:c r="G4" s="107" t="str">
        <x:v>Manual v0.2</x:v>
      </x:c>
      <x:c r="H4" s="107" t="str">
        <x:v>Supports wealth/advisory and staff-quality logic.</x:v>
      </x:c>
      <x:c r="I4" s="105"/>
      <x:c r="J4" s="105"/>
      <x:c r="K4" s="105"/>
      <x:c r="L4" s="105"/>
      <x:c r="M4" s="105"/>
      <x:c r="N4" s="105"/>
      <x:c r="O4" s="105"/>
      <x:c r="P4" s="105"/>
      <x:c r="Q4" s="105"/>
      <x:c r="R4" s="105"/>
      <x:c r="S4" s="105"/>
      <x:c r="T4" s="105"/>
      <x:c r="U4" s="105"/>
    </x:row>
    <x:row r="5">
      <x:c r="A5" s="107" t="str">
        <x:v>Office / Business Cluster</x:v>
      </x:c>
      <x:c r="B5" s="107" t="str">
        <x:v>Commerce, Data/Talent, Capital</x:v>
      </x:c>
      <x:c r="C5" s="172" t="str">
        <x:v>+10</x:v>
      </x:c>
      <x:c r="D5" s="172" t="str">
        <x:v>+6</x:v>
      </x:c>
      <x:c r="E5" s="172" t="str">
        <x:v>+2</x:v>
      </x:c>
      <x:c r="F5" s="107" t="str">
        <x:v>Professional demand, talent, capital</x:v>
      </x:c>
      <x:c r="G5" s="107" t="str">
        <x:v>Manual v0.2</x:v>
      </x:c>
      <x:c r="H5" s="107" t="str">
        <x:v>Useful for research, fintech and institutional activity.</x:v>
      </x:c>
      <x:c r="I5" s="105"/>
      <x:c r="J5" s="105"/>
      <x:c r="K5" s="105"/>
      <x:c r="L5" s="105"/>
      <x:c r="M5" s="105"/>
      <x:c r="N5" s="105"/>
      <x:c r="O5" s="105"/>
      <x:c r="P5" s="105"/>
      <x:c r="Q5" s="105"/>
      <x:c r="R5" s="105"/>
      <x:c r="S5" s="105"/>
      <x:c r="T5" s="105"/>
      <x:c r="U5" s="105"/>
    </x:row>
    <x:row r="6">
      <x:c r="A6" s="107" t="str">
        <x:v>Financial Landmark</x:v>
      </x:c>
      <x:c r="B6" s="107" t="str">
        <x:v>Capital, Prestige, Commerce</x:v>
      </x:c>
      <x:c r="C6" s="172" t="str">
        <x:v>+15</x:v>
      </x:c>
      <x:c r="D6" s="172" t="str">
        <x:v>+8</x:v>
      </x:c>
      <x:c r="E6" s="172" t="str">
        <x:v>+3</x:v>
      </x:c>
      <x:c r="F6" s="107" t="str">
        <x:v>Institutional/HNW mix</x:v>
      </x:c>
      <x:c r="G6" s="107" t="str">
        <x:v>Manual v0.2</x:v>
      </x:c>
      <x:c r="H6" s="107" t="str">
        <x:v>Use sparingly to create trophy zones.</x:v>
      </x:c>
      <x:c r="I6" s="105"/>
      <x:c r="J6" s="105"/>
      <x:c r="K6" s="105"/>
      <x:c r="L6" s="105"/>
      <x:c r="M6" s="105"/>
      <x:c r="N6" s="105"/>
      <x:c r="O6" s="105"/>
      <x:c r="P6" s="105"/>
      <x:c r="Q6" s="105"/>
      <x:c r="R6" s="105"/>
      <x:c r="S6" s="105"/>
      <x:c r="T6" s="105"/>
      <x:c r="U6" s="105"/>
    </x:row>
    <x:row r="7">
      <x:c r="A7" s="107" t="str">
        <x:v>Civic / Prestige Landmark</x:v>
      </x:c>
      <x:c r="B7" s="107" t="str">
        <x:v>Prestige, Amenity</x:v>
      </x:c>
      <x:c r="C7" s="172" t="str">
        <x:v>+12</x:v>
      </x:c>
      <x:c r="D7" s="172" t="str">
        <x:v>+7</x:v>
      </x:c>
      <x:c r="E7" s="172" t="str">
        <x:v>+3</x:v>
      </x:c>
      <x:c r="F7" s="107" t="str">
        <x:v>Reputation and premium attraction</x:v>
      </x:c>
      <x:c r="G7" s="107" t="str">
        <x:v>Manual v0.2</x:v>
      </x:c>
      <x:c r="H7" s="107" t="str">
        <x:v>Should not simply duplicate commercial value.</x:v>
      </x:c>
      <x:c r="I7" s="105"/>
      <x:c r="J7" s="105"/>
      <x:c r="K7" s="105"/>
      <x:c r="L7" s="105"/>
      <x:c r="M7" s="105"/>
      <x:c r="N7" s="105"/>
      <x:c r="O7" s="105"/>
      <x:c r="P7" s="105"/>
      <x:c r="Q7" s="105"/>
      <x:c r="R7" s="105"/>
      <x:c r="S7" s="105"/>
      <x:c r="T7" s="105"/>
      <x:c r="U7" s="105"/>
    </x:row>
    <x:row r="8">
      <x:c r="A8" s="105"/>
      <x:c r="B8" s="105"/>
      <x:c r="C8" s="105"/>
      <x:c r="D8" s="105"/>
      <x:c r="E8" s="105"/>
      <x:c r="F8" s="105"/>
      <x:c r="G8" s="105"/>
      <x:c r="H8" s="105"/>
      <x:c r="I8" s="105"/>
      <x:c r="J8" s="105"/>
      <x:c r="K8" s="105"/>
      <x:c r="L8" s="105"/>
      <x:c r="M8" s="105"/>
      <x:c r="N8" s="105"/>
      <x:c r="O8" s="105"/>
      <x:c r="P8" s="105"/>
      <x:c r="Q8" s="105"/>
      <x:c r="R8" s="105"/>
      <x:c r="S8" s="105"/>
      <x:c r="T8" s="105"/>
      <x:c r="U8" s="105"/>
    </x:row>
    <x:row r="9">
      <x:c r="A9" s="105"/>
      <x:c r="B9" s="105"/>
      <x:c r="C9" s="105"/>
      <x:c r="D9" s="105"/>
      <x:c r="E9" s="105"/>
      <x:c r="F9" s="105"/>
      <x:c r="G9" s="105"/>
      <x:c r="H9" s="105"/>
      <x:c r="I9" s="105"/>
      <x:c r="J9" s="105"/>
      <x:c r="K9" s="105"/>
      <x:c r="L9" s="105"/>
      <x:c r="M9" s="105"/>
      <x:c r="N9" s="105"/>
      <x:c r="O9" s="105"/>
      <x:c r="P9" s="105"/>
      <x:c r="Q9" s="105"/>
      <x:c r="R9" s="105"/>
      <x:c r="S9" s="105"/>
      <x:c r="T9" s="105"/>
      <x:c r="U9" s="105"/>
    </x:row>
    <x:row r="10">
      <x:c r="A10" s="105"/>
      <x:c r="B10" s="105"/>
      <x:c r="C10" s="105"/>
      <x:c r="D10" s="105"/>
      <x:c r="E10" s="105"/>
      <x:c r="F10" s="105"/>
      <x:c r="G10" s="105"/>
      <x:c r="H10" s="105"/>
      <x:c r="I10" s="105"/>
      <x:c r="J10" s="105"/>
      <x:c r="K10" s="105"/>
      <x:c r="L10" s="105"/>
      <x:c r="M10" s="105"/>
      <x:c r="N10" s="105"/>
      <x:c r="O10" s="105"/>
      <x:c r="P10" s="105"/>
      <x:c r="Q10" s="105"/>
      <x:c r="R10" s="105"/>
      <x:c r="S10" s="105"/>
      <x:c r="T10" s="105"/>
      <x:c r="U10" s="105"/>
    </x:row>
    <x:row r="11">
      <x:c r="A11" s="105"/>
      <x:c r="B11" s="105"/>
      <x:c r="C11" s="105"/>
      <x:c r="D11" s="105"/>
      <x:c r="E11" s="105"/>
      <x:c r="F11" s="105"/>
      <x:c r="G11" s="105"/>
      <x:c r="H11" s="105"/>
      <x:c r="I11" s="105"/>
      <x:c r="J11" s="105"/>
      <x:c r="K11" s="105"/>
      <x:c r="L11" s="105"/>
      <x:c r="M11" s="105"/>
      <x:c r="N11" s="105"/>
      <x:c r="O11" s="105"/>
      <x:c r="P11" s="105"/>
      <x:c r="Q11" s="105"/>
      <x:c r="R11" s="105"/>
      <x:c r="S11" s="105"/>
      <x:c r="T11" s="105"/>
      <x:c r="U11" s="105"/>
    </x:row>
    <x:row r="12">
      <x:c r="A12" s="105"/>
      <x:c r="B12" s="105"/>
      <x:c r="C12" s="105"/>
      <x:c r="D12" s="105"/>
      <x:c r="E12" s="105"/>
      <x:c r="F12" s="105"/>
      <x:c r="G12" s="105"/>
      <x:c r="H12" s="105"/>
      <x:c r="I12" s="105"/>
      <x:c r="J12" s="105"/>
      <x:c r="K12" s="105"/>
      <x:c r="L12" s="105"/>
      <x:c r="M12" s="105"/>
      <x:c r="N12" s="105"/>
      <x:c r="O12" s="105"/>
      <x:c r="P12" s="105"/>
      <x:c r="Q12" s="105"/>
      <x:c r="R12" s="105"/>
      <x:c r="S12" s="105"/>
      <x:c r="T12" s="105"/>
      <x:c r="U12" s="105"/>
    </x:row>
    <x:row r="13">
      <x:c r="A13" s="105"/>
      <x:c r="B13" s="105"/>
      <x:c r="C13" s="105"/>
      <x:c r="D13" s="105"/>
      <x:c r="E13" s="105"/>
      <x:c r="F13" s="105"/>
      <x:c r="G13" s="105"/>
      <x:c r="H13" s="105"/>
      <x:c r="I13" s="105"/>
      <x:c r="J13" s="105"/>
      <x:c r="K13" s="105"/>
      <x:c r="L13" s="105"/>
      <x:c r="M13" s="105"/>
      <x:c r="N13" s="105"/>
      <x:c r="O13" s="105"/>
      <x:c r="P13" s="105"/>
      <x:c r="Q13" s="105"/>
      <x:c r="R13" s="105"/>
      <x:c r="S13" s="105"/>
      <x:c r="T13" s="105"/>
      <x:c r="U13" s="105"/>
    </x:row>
    <x:row r="14">
      <x:c r="A14" s="105"/>
      <x:c r="B14" s="105"/>
      <x:c r="C14" s="105"/>
      <x:c r="D14" s="105"/>
      <x:c r="E14" s="105"/>
      <x:c r="F14" s="105"/>
      <x:c r="G14" s="105"/>
      <x:c r="H14" s="105"/>
      <x:c r="I14" s="105"/>
      <x:c r="J14" s="105"/>
      <x:c r="K14" s="105"/>
      <x:c r="L14" s="105"/>
      <x:c r="M14" s="105"/>
      <x:c r="N14" s="105"/>
      <x:c r="O14" s="105"/>
      <x:c r="P14" s="105"/>
      <x:c r="Q14" s="105"/>
      <x:c r="R14" s="105"/>
      <x:c r="S14" s="105"/>
      <x:c r="T14" s="105"/>
      <x:c r="U14" s="105"/>
    </x:row>
    <x:row r="15">
      <x:c r="A15" s="105"/>
      <x:c r="B15" s="105"/>
      <x:c r="C15" s="105"/>
      <x:c r="D15" s="105"/>
      <x:c r="E15" s="105"/>
      <x:c r="F15" s="105"/>
      <x:c r="G15" s="105"/>
      <x:c r="H15" s="105"/>
      <x:c r="I15" s="105"/>
      <x:c r="J15" s="105"/>
      <x:c r="K15" s="105"/>
      <x:c r="L15" s="105"/>
      <x:c r="M15" s="105"/>
      <x:c r="N15" s="105"/>
      <x:c r="O15" s="105"/>
      <x:c r="P15" s="105"/>
      <x:c r="Q15" s="105"/>
      <x:c r="R15" s="105"/>
      <x:c r="S15" s="105"/>
      <x:c r="T15" s="105"/>
      <x:c r="U15" s="105"/>
    </x:row>
    <x:row r="16">
      <x:c r="A16" s="105"/>
      <x:c r="B16" s="105"/>
      <x:c r="C16" s="105"/>
      <x:c r="D16" s="105"/>
      <x:c r="E16" s="105"/>
      <x:c r="F16" s="105"/>
      <x:c r="G16" s="105"/>
      <x:c r="H16" s="105"/>
      <x:c r="I16" s="105"/>
      <x:c r="J16" s="105"/>
      <x:c r="K16" s="105"/>
      <x:c r="L16" s="105"/>
      <x:c r="M16" s="105"/>
      <x:c r="N16" s="105"/>
      <x:c r="O16" s="105"/>
      <x:c r="P16" s="105"/>
      <x:c r="Q16" s="105"/>
      <x:c r="R16" s="105"/>
      <x:c r="S16" s="105"/>
      <x:c r="T16" s="105"/>
      <x:c r="U16" s="105"/>
    </x:row>
    <x:row r="17">
      <x:c r="A17" s="105"/>
      <x:c r="B17" s="105"/>
      <x:c r="C17" s="105"/>
      <x:c r="D17" s="105"/>
      <x:c r="E17" s="105"/>
      <x:c r="F17" s="105"/>
      <x:c r="G17" s="105"/>
      <x:c r="H17" s="105"/>
      <x:c r="I17" s="105"/>
      <x:c r="J17" s="105"/>
      <x:c r="K17" s="105"/>
      <x:c r="L17" s="105"/>
      <x:c r="M17" s="105"/>
      <x:c r="N17" s="105"/>
      <x:c r="O17" s="105"/>
      <x:c r="P17" s="105"/>
      <x:c r="Q17" s="105"/>
      <x:c r="R17" s="105"/>
      <x:c r="S17" s="105"/>
      <x:c r="T17" s="105"/>
      <x:c r="U17" s="105"/>
    </x:row>
    <x:row r="18">
      <x:c r="A18" s="105"/>
      <x:c r="B18" s="105"/>
      <x:c r="C18" s="105"/>
      <x:c r="D18" s="105"/>
      <x:c r="E18" s="105"/>
      <x:c r="F18" s="105"/>
      <x:c r="G18" s="105"/>
      <x:c r="H18" s="105"/>
      <x:c r="I18" s="105"/>
      <x:c r="J18" s="105"/>
      <x:c r="K18" s="105"/>
      <x:c r="L18" s="105"/>
      <x:c r="M18" s="105"/>
      <x:c r="N18" s="105"/>
      <x:c r="O18" s="105"/>
      <x:c r="P18" s="105"/>
      <x:c r="Q18" s="105"/>
      <x:c r="R18" s="105"/>
      <x:c r="S18" s="105"/>
      <x:c r="T18" s="105"/>
      <x:c r="U18" s="105"/>
    </x:row>
    <x:row r="19">
      <x:c r="A19" s="105"/>
      <x:c r="B19" s="105"/>
      <x:c r="C19" s="105"/>
      <x:c r="D19" s="105"/>
      <x:c r="E19" s="105"/>
      <x:c r="F19" s="105"/>
      <x:c r="G19" s="105"/>
      <x:c r="H19" s="105"/>
      <x:c r="I19" s="105"/>
      <x:c r="J19" s="105"/>
      <x:c r="K19" s="105"/>
      <x:c r="L19" s="105"/>
      <x:c r="M19" s="105"/>
      <x:c r="N19" s="105"/>
      <x:c r="O19" s="105"/>
      <x:c r="P19" s="105"/>
      <x:c r="Q19" s="105"/>
      <x:c r="R19" s="105"/>
      <x:c r="S19" s="105"/>
      <x:c r="T19" s="105"/>
      <x:c r="U19" s="105"/>
    </x:row>
    <x:row r="20">
      <x:c r="A20" s="105"/>
      <x:c r="B20" s="105"/>
      <x:c r="C20" s="105"/>
      <x:c r="D20" s="105"/>
      <x:c r="E20" s="105"/>
      <x:c r="F20" s="105"/>
      <x:c r="G20" s="105"/>
      <x:c r="H20" s="105"/>
      <x:c r="I20" s="105"/>
      <x:c r="J20" s="105"/>
      <x:c r="K20" s="105"/>
      <x:c r="L20" s="105"/>
      <x:c r="M20" s="105"/>
      <x:c r="N20" s="105"/>
      <x:c r="O20" s="105"/>
      <x:c r="P20" s="105"/>
      <x:c r="Q20" s="105"/>
      <x:c r="R20" s="105"/>
      <x:c r="S20" s="105"/>
      <x:c r="T20" s="105"/>
      <x:c r="U20" s="105"/>
    </x:row>
    <x:row r="21">
      <x:c r="A21" s="105"/>
      <x:c r="B21" s="105"/>
      <x:c r="C21" s="105"/>
      <x:c r="D21" s="105"/>
      <x:c r="E21" s="105"/>
      <x:c r="F21" s="105"/>
      <x:c r="G21" s="105"/>
      <x:c r="H21" s="105"/>
      <x:c r="I21" s="105"/>
      <x:c r="J21" s="105"/>
      <x:c r="K21" s="105"/>
      <x:c r="L21" s="105"/>
      <x:c r="M21" s="105"/>
      <x:c r="N21" s="105"/>
      <x:c r="O21" s="105"/>
      <x:c r="P21" s="105"/>
      <x:c r="Q21" s="105"/>
      <x:c r="R21" s="105"/>
      <x:c r="S21" s="105"/>
      <x:c r="T21" s="105"/>
      <x:c r="U21" s="105"/>
    </x:row>
    <x:row r="22">
      <x:c r="A22" s="105"/>
      <x:c r="B22" s="105"/>
      <x:c r="C22" s="105"/>
      <x:c r="D22" s="105"/>
      <x:c r="E22" s="105"/>
      <x:c r="F22" s="105"/>
      <x:c r="G22" s="105"/>
      <x:c r="H22" s="105"/>
      <x:c r="I22" s="105"/>
      <x:c r="J22" s="105"/>
      <x:c r="K22" s="105"/>
      <x:c r="L22" s="105"/>
      <x:c r="M22" s="105"/>
      <x:c r="N22" s="105"/>
      <x:c r="O22" s="105"/>
      <x:c r="P22" s="105"/>
      <x:c r="Q22" s="105"/>
      <x:c r="R22" s="105"/>
      <x:c r="S22" s="105"/>
      <x:c r="T22" s="105"/>
      <x:c r="U22" s="105"/>
    </x:row>
    <x:row r="23">
      <x:c r="A23" s="105"/>
      <x:c r="B23" s="105"/>
      <x:c r="C23" s="105"/>
      <x:c r="D23" s="105"/>
      <x:c r="E23" s="105"/>
      <x:c r="F23" s="105"/>
      <x:c r="G23" s="105"/>
      <x:c r="H23" s="105"/>
      <x:c r="I23" s="105"/>
      <x:c r="J23" s="105"/>
      <x:c r="K23" s="105"/>
      <x:c r="L23" s="105"/>
      <x:c r="M23" s="105"/>
      <x:c r="N23" s="105"/>
      <x:c r="O23" s="105"/>
      <x:c r="P23" s="105"/>
      <x:c r="Q23" s="105"/>
      <x:c r="R23" s="105"/>
      <x:c r="S23" s="105"/>
      <x:c r="T23" s="105"/>
      <x:c r="U23" s="105"/>
    </x:row>
    <x:row r="24">
      <x:c r="A24" s="105"/>
      <x:c r="B24" s="105"/>
      <x:c r="C24" s="105"/>
      <x:c r="D24" s="105"/>
      <x:c r="E24" s="105"/>
      <x:c r="F24" s="105"/>
      <x:c r="G24" s="105"/>
      <x:c r="H24" s="105"/>
      <x:c r="I24" s="105"/>
      <x:c r="J24" s="105"/>
      <x:c r="K24" s="105"/>
      <x:c r="L24" s="105"/>
      <x:c r="M24" s="105"/>
      <x:c r="N24" s="105"/>
      <x:c r="O24" s="105"/>
      <x:c r="P24" s="105"/>
      <x:c r="Q24" s="105"/>
      <x:c r="R24" s="105"/>
      <x:c r="S24" s="105"/>
      <x:c r="T24" s="105"/>
      <x:c r="U24" s="105"/>
    </x:row>
    <x:row r="25">
      <x:c r="A25" s="105"/>
      <x:c r="B25" s="105"/>
      <x:c r="C25" s="105"/>
      <x:c r="D25" s="105"/>
      <x:c r="E25" s="105"/>
      <x:c r="F25" s="105"/>
      <x:c r="G25" s="105"/>
      <x:c r="H25" s="105"/>
      <x:c r="I25" s="105"/>
      <x:c r="J25" s="105"/>
      <x:c r="K25" s="105"/>
      <x:c r="L25" s="105"/>
      <x:c r="M25" s="105"/>
      <x:c r="N25" s="105"/>
      <x:c r="O25" s="105"/>
      <x:c r="P25" s="105"/>
      <x:c r="Q25" s="105"/>
      <x:c r="R25" s="105"/>
      <x:c r="S25" s="105"/>
      <x:c r="T25" s="105"/>
      <x:c r="U25" s="105"/>
    </x:row>
    <x:row r="26">
      <x:c r="A26" s="105"/>
      <x:c r="B26" s="105"/>
      <x:c r="C26" s="105"/>
      <x:c r="D26" s="105"/>
      <x:c r="E26" s="105"/>
      <x:c r="F26" s="105"/>
      <x:c r="G26" s="105"/>
      <x:c r="H26" s="105"/>
      <x:c r="I26" s="105"/>
      <x:c r="J26" s="105"/>
      <x:c r="K26" s="105"/>
      <x:c r="L26" s="105"/>
      <x:c r="M26" s="105"/>
      <x:c r="N26" s="105"/>
      <x:c r="O26" s="105"/>
      <x:c r="P26" s="105"/>
      <x:c r="Q26" s="105"/>
      <x:c r="R26" s="105"/>
      <x:c r="S26" s="105"/>
      <x:c r="T26" s="105"/>
      <x:c r="U26" s="105"/>
    </x:row>
    <x:row r="27">
      <x:c r="A27" s="105"/>
      <x:c r="B27" s="105"/>
      <x:c r="C27" s="105"/>
      <x:c r="D27" s="105"/>
      <x:c r="E27" s="105"/>
      <x:c r="F27" s="105"/>
      <x:c r="G27" s="105"/>
      <x:c r="H27" s="105"/>
      <x:c r="I27" s="105"/>
      <x:c r="J27" s="105"/>
      <x:c r="K27" s="105"/>
      <x:c r="L27" s="105"/>
      <x:c r="M27" s="105"/>
      <x:c r="N27" s="105"/>
      <x:c r="O27" s="105"/>
      <x:c r="P27" s="105"/>
      <x:c r="Q27" s="105"/>
      <x:c r="R27" s="105"/>
      <x:c r="S27" s="105"/>
      <x:c r="T27" s="105"/>
      <x:c r="U27" s="105"/>
    </x:row>
    <x:row r="28">
      <x:c r="A28" s="105"/>
      <x:c r="B28" s="105"/>
      <x:c r="C28" s="105"/>
      <x:c r="D28" s="105"/>
      <x:c r="E28" s="105"/>
      <x:c r="F28" s="105"/>
      <x:c r="G28" s="105"/>
      <x:c r="H28" s="105"/>
      <x:c r="I28" s="105"/>
      <x:c r="J28" s="105"/>
      <x:c r="K28" s="105"/>
      <x:c r="L28" s="105"/>
      <x:c r="M28" s="105"/>
      <x:c r="N28" s="105"/>
      <x:c r="O28" s="105"/>
      <x:c r="P28" s="105"/>
      <x:c r="Q28" s="105"/>
      <x:c r="R28" s="105"/>
      <x:c r="S28" s="105"/>
      <x:c r="T28" s="105"/>
      <x:c r="U28" s="105"/>
    </x:row>
    <x:row r="29">
      <x:c r="A29" s="105"/>
      <x:c r="B29" s="105"/>
      <x:c r="C29" s="105"/>
      <x:c r="D29" s="105"/>
      <x:c r="E29" s="105"/>
      <x:c r="F29" s="105"/>
      <x:c r="G29" s="105"/>
      <x:c r="H29" s="105"/>
      <x:c r="I29" s="105"/>
      <x:c r="J29" s="105"/>
      <x:c r="K29" s="105"/>
      <x:c r="L29" s="105"/>
      <x:c r="M29" s="105"/>
      <x:c r="N29" s="105"/>
      <x:c r="O29" s="105"/>
      <x:c r="P29" s="105"/>
      <x:c r="Q29" s="105"/>
      <x:c r="R29" s="105"/>
      <x:c r="S29" s="105"/>
      <x:c r="T29" s="105"/>
      <x:c r="U29" s="105"/>
    </x:row>
    <x:row r="30">
      <x:c r="A30" s="105"/>
      <x:c r="B30" s="105"/>
      <x:c r="C30" s="105"/>
      <x:c r="D30" s="105"/>
      <x:c r="E30" s="105"/>
      <x:c r="F30" s="105"/>
      <x:c r="G30" s="105"/>
      <x:c r="H30" s="105"/>
      <x:c r="I30" s="105"/>
      <x:c r="J30" s="105"/>
      <x:c r="K30" s="105"/>
      <x:c r="L30" s="105"/>
      <x:c r="M30" s="105"/>
      <x:c r="N30" s="105"/>
      <x:c r="O30" s="105"/>
      <x:c r="P30" s="105"/>
      <x:c r="Q30" s="105"/>
      <x:c r="R30" s="105"/>
      <x:c r="S30" s="105"/>
      <x:c r="T30" s="105"/>
      <x:c r="U30" s="105"/>
    </x:row>
    <x:row r="31">
      <x:c r="A31" s="105"/>
      <x:c r="B31" s="105"/>
      <x:c r="C31" s="105"/>
      <x:c r="D31" s="105"/>
      <x:c r="E31" s="105"/>
      <x:c r="F31" s="105"/>
      <x:c r="G31" s="105"/>
      <x:c r="H31" s="105"/>
      <x:c r="I31" s="105"/>
      <x:c r="J31" s="105"/>
      <x:c r="K31" s="105"/>
      <x:c r="L31" s="105"/>
      <x:c r="M31" s="105"/>
      <x:c r="N31" s="105"/>
      <x:c r="O31" s="105"/>
      <x:c r="P31" s="105"/>
      <x:c r="Q31" s="105"/>
      <x:c r="R31" s="105"/>
      <x:c r="S31" s="105"/>
      <x:c r="T31" s="105"/>
      <x:c r="U31" s="105"/>
    </x:row>
    <x:row r="32">
      <x:c r="A32" s="105"/>
      <x:c r="B32" s="105"/>
      <x:c r="C32" s="105"/>
      <x:c r="D32" s="105"/>
      <x:c r="E32" s="105"/>
      <x:c r="F32" s="105"/>
      <x:c r="G32" s="105"/>
      <x:c r="H32" s="105"/>
      <x:c r="I32" s="105"/>
      <x:c r="J32" s="105"/>
      <x:c r="K32" s="105"/>
      <x:c r="L32" s="105"/>
      <x:c r="M32" s="105"/>
      <x:c r="N32" s="105"/>
      <x:c r="O32" s="105"/>
      <x:c r="P32" s="105"/>
      <x:c r="Q32" s="105"/>
      <x:c r="R32" s="105"/>
      <x:c r="S32" s="105"/>
      <x:c r="T32" s="105"/>
      <x:c r="U32" s="105"/>
    </x:row>
    <x:row r="33">
      <x:c r="A33" s="105"/>
      <x:c r="B33" s="105"/>
      <x:c r="C33" s="105"/>
      <x:c r="D33" s="105"/>
      <x:c r="E33" s="105"/>
      <x:c r="F33" s="105"/>
      <x:c r="G33" s="105"/>
      <x:c r="H33" s="105"/>
      <x:c r="I33" s="105"/>
      <x:c r="J33" s="105"/>
      <x:c r="K33" s="105"/>
      <x:c r="L33" s="105"/>
      <x:c r="M33" s="105"/>
      <x:c r="N33" s="105"/>
      <x:c r="O33" s="105"/>
      <x:c r="P33" s="105"/>
      <x:c r="Q33" s="105"/>
      <x:c r="R33" s="105"/>
      <x:c r="S33" s="105"/>
      <x:c r="T33" s="105"/>
      <x:c r="U33" s="105"/>
    </x:row>
    <x:row r="34">
      <x:c r="A34" s="105"/>
      <x:c r="B34" s="105"/>
      <x:c r="C34" s="105"/>
      <x:c r="D34" s="105"/>
      <x:c r="E34" s="105"/>
      <x:c r="F34" s="105"/>
      <x:c r="G34" s="105"/>
      <x:c r="H34" s="105"/>
      <x:c r="I34" s="105"/>
      <x:c r="J34" s="105"/>
      <x:c r="K34" s="105"/>
      <x:c r="L34" s="105"/>
      <x:c r="M34" s="105"/>
      <x:c r="N34" s="105"/>
      <x:c r="O34" s="105"/>
      <x:c r="P34" s="105"/>
      <x:c r="Q34" s="105"/>
      <x:c r="R34" s="105"/>
      <x:c r="S34" s="105"/>
      <x:c r="T34" s="105"/>
      <x:c r="U34" s="105"/>
    </x:row>
    <x:row r="35">
      <x:c r="A35" s="105"/>
      <x:c r="B35" s="105"/>
      <x:c r="C35" s="105"/>
      <x:c r="D35" s="105"/>
      <x:c r="E35" s="105"/>
      <x:c r="F35" s="105"/>
      <x:c r="G35" s="105"/>
      <x:c r="H35" s="105"/>
      <x:c r="I35" s="105"/>
      <x:c r="J35" s="105"/>
      <x:c r="K35" s="105"/>
      <x:c r="L35" s="105"/>
      <x:c r="M35" s="105"/>
      <x:c r="N35" s="105"/>
      <x:c r="O35" s="105"/>
      <x:c r="P35" s="105"/>
      <x:c r="Q35" s="105"/>
      <x:c r="R35" s="105"/>
      <x:c r="S35" s="105"/>
      <x:c r="T35" s="105"/>
      <x:c r="U35" s="105"/>
    </x:row>
    <x:row r="36">
      <x:c r="A36" s="105"/>
      <x:c r="B36" s="105"/>
      <x:c r="C36" s="105"/>
      <x:c r="D36" s="105"/>
      <x:c r="E36" s="105"/>
      <x:c r="F36" s="105"/>
      <x:c r="G36" s="105"/>
      <x:c r="H36" s="105"/>
      <x:c r="I36" s="105"/>
      <x:c r="J36" s="105"/>
      <x:c r="K36" s="105"/>
      <x:c r="L36" s="105"/>
      <x:c r="M36" s="105"/>
      <x:c r="N36" s="105"/>
      <x:c r="O36" s="105"/>
      <x:c r="P36" s="105"/>
      <x:c r="Q36" s="105"/>
      <x:c r="R36" s="105"/>
      <x:c r="S36" s="105"/>
      <x:c r="T36" s="105"/>
      <x:c r="U36" s="105"/>
    </x:row>
    <x:row r="37">
      <x:c r="A37" s="105"/>
      <x:c r="B37" s="105"/>
      <x:c r="C37" s="105"/>
      <x:c r="D37" s="105"/>
      <x:c r="E37" s="105"/>
      <x:c r="F37" s="105"/>
      <x:c r="G37" s="105"/>
      <x:c r="H37" s="105"/>
      <x:c r="I37" s="105"/>
      <x:c r="J37" s="105"/>
      <x:c r="K37" s="105"/>
      <x:c r="L37" s="105"/>
      <x:c r="M37" s="105"/>
      <x:c r="N37" s="105"/>
      <x:c r="O37" s="105"/>
      <x:c r="P37" s="105"/>
      <x:c r="Q37" s="105"/>
      <x:c r="R37" s="105"/>
      <x:c r="S37" s="105"/>
      <x:c r="T37" s="105"/>
      <x:c r="U37" s="105"/>
    </x:row>
    <x:row r="38">
      <x:c r="A38" s="105"/>
      <x:c r="B38" s="105"/>
      <x:c r="C38" s="105"/>
      <x:c r="D38" s="105"/>
      <x:c r="E38" s="105"/>
      <x:c r="F38" s="105"/>
      <x:c r="G38" s="105"/>
      <x:c r="H38" s="105"/>
      <x:c r="I38" s="105"/>
      <x:c r="J38" s="105"/>
      <x:c r="K38" s="105"/>
      <x:c r="L38" s="105"/>
      <x:c r="M38" s="105"/>
      <x:c r="N38" s="105"/>
      <x:c r="O38" s="105"/>
      <x:c r="P38" s="105"/>
      <x:c r="Q38" s="105"/>
      <x:c r="R38" s="105"/>
      <x:c r="S38" s="105"/>
      <x:c r="T38" s="105"/>
      <x:c r="U38" s="105"/>
    </x:row>
    <x:row r="39">
      <x:c r="A39" s="105"/>
      <x:c r="B39" s="105"/>
      <x:c r="C39" s="105"/>
      <x:c r="D39" s="105"/>
      <x:c r="E39" s="105"/>
      <x:c r="F39" s="105"/>
      <x:c r="G39" s="105"/>
      <x:c r="H39" s="105"/>
      <x:c r="I39" s="105"/>
      <x:c r="J39" s="105"/>
      <x:c r="K39" s="105"/>
      <x:c r="L39" s="105"/>
      <x:c r="M39" s="105"/>
      <x:c r="N39" s="105"/>
      <x:c r="O39" s="105"/>
      <x:c r="P39" s="105"/>
      <x:c r="Q39" s="105"/>
      <x:c r="R39" s="105"/>
      <x:c r="S39" s="105"/>
      <x:c r="T39" s="105"/>
      <x:c r="U39" s="105"/>
    </x:row>
    <x:row r="40">
      <x:c r="A40" s="105"/>
      <x:c r="B40" s="105"/>
      <x:c r="C40" s="105"/>
      <x:c r="D40" s="105"/>
      <x:c r="E40" s="105"/>
      <x:c r="F40" s="105"/>
      <x:c r="G40" s="105"/>
      <x:c r="H40" s="105"/>
      <x:c r="I40" s="105"/>
      <x:c r="J40" s="105"/>
      <x:c r="K40" s="105"/>
      <x:c r="L40" s="105"/>
      <x:c r="M40" s="105"/>
      <x:c r="N40" s="105"/>
      <x:c r="O40" s="105"/>
      <x:c r="P40" s="105"/>
      <x:c r="Q40" s="105"/>
      <x:c r="R40" s="105"/>
      <x:c r="S40" s="105"/>
      <x:c r="T40" s="105"/>
      <x:c r="U40" s="105"/>
    </x:row>
    <x:row r="41">
      <x:c r="A41" s="105"/>
      <x:c r="B41" s="105"/>
      <x:c r="C41" s="105"/>
      <x:c r="D41" s="105"/>
      <x:c r="E41" s="105"/>
      <x:c r="F41" s="105"/>
      <x:c r="G41" s="105"/>
      <x:c r="H41" s="105"/>
      <x:c r="I41" s="105"/>
      <x:c r="J41" s="105"/>
      <x:c r="K41" s="105"/>
      <x:c r="L41" s="105"/>
      <x:c r="M41" s="105"/>
      <x:c r="N41" s="105"/>
      <x:c r="O41" s="105"/>
      <x:c r="P41" s="105"/>
      <x:c r="Q41" s="105"/>
      <x:c r="R41" s="105"/>
      <x:c r="S41" s="105"/>
      <x:c r="T41" s="105"/>
      <x:c r="U41" s="105"/>
    </x:row>
    <x:row r="42">
      <x:c r="A42" s="105"/>
      <x:c r="B42" s="105"/>
      <x:c r="C42" s="105"/>
      <x:c r="D42" s="105"/>
      <x:c r="E42" s="105"/>
      <x:c r="F42" s="105"/>
      <x:c r="G42" s="105"/>
      <x:c r="H42" s="105"/>
      <x:c r="I42" s="105"/>
      <x:c r="J42" s="105"/>
      <x:c r="K42" s="105"/>
      <x:c r="L42" s="105"/>
      <x:c r="M42" s="105"/>
      <x:c r="N42" s="105"/>
      <x:c r="O42" s="105"/>
      <x:c r="P42" s="105"/>
      <x:c r="Q42" s="105"/>
      <x:c r="R42" s="105"/>
      <x:c r="S42" s="105"/>
      <x:c r="T42" s="105"/>
      <x:c r="U42" s="105"/>
    </x:row>
    <x:row r="43">
      <x:c r="A43" s="105"/>
      <x:c r="B43" s="105"/>
      <x:c r="C43" s="105"/>
      <x:c r="D43" s="105"/>
      <x:c r="E43" s="105"/>
      <x:c r="F43" s="105"/>
      <x:c r="G43" s="105"/>
      <x:c r="H43" s="105"/>
      <x:c r="I43" s="105"/>
      <x:c r="J43" s="105"/>
      <x:c r="K43" s="105"/>
      <x:c r="L43" s="105"/>
      <x:c r="M43" s="105"/>
      <x:c r="N43" s="105"/>
      <x:c r="O43" s="105"/>
      <x:c r="P43" s="105"/>
      <x:c r="Q43" s="105"/>
      <x:c r="R43" s="105"/>
      <x:c r="S43" s="105"/>
      <x:c r="T43" s="105"/>
      <x:c r="U43" s="105"/>
    </x:row>
    <x:row r="44">
      <x:c r="A44" s="105"/>
      <x:c r="B44" s="105"/>
      <x:c r="C44" s="105"/>
      <x:c r="D44" s="105"/>
      <x:c r="E44" s="105"/>
      <x:c r="F44" s="105"/>
      <x:c r="G44" s="105"/>
      <x:c r="H44" s="105"/>
      <x:c r="I44" s="105"/>
      <x:c r="J44" s="105"/>
      <x:c r="K44" s="105"/>
      <x:c r="L44" s="105"/>
      <x:c r="M44" s="105"/>
      <x:c r="N44" s="105"/>
      <x:c r="O44" s="105"/>
      <x:c r="P44" s="105"/>
      <x:c r="Q44" s="105"/>
      <x:c r="R44" s="105"/>
      <x:c r="S44" s="105"/>
      <x:c r="T44" s="105"/>
      <x:c r="U44" s="105"/>
    </x:row>
    <x:row r="45">
      <x:c r="A45" s="105"/>
      <x:c r="B45" s="105"/>
      <x:c r="C45" s="105"/>
      <x:c r="D45" s="105"/>
      <x:c r="E45" s="105"/>
      <x:c r="F45" s="105"/>
      <x:c r="G45" s="105"/>
      <x:c r="H45" s="105"/>
      <x:c r="I45" s="105"/>
      <x:c r="J45" s="105"/>
      <x:c r="K45" s="105"/>
      <x:c r="L45" s="105"/>
      <x:c r="M45" s="105"/>
      <x:c r="N45" s="105"/>
      <x:c r="O45" s="105"/>
      <x:c r="P45" s="105"/>
      <x:c r="Q45" s="105"/>
      <x:c r="R45" s="105"/>
      <x:c r="S45" s="105"/>
      <x:c r="T45" s="105"/>
      <x:c r="U45" s="105"/>
    </x:row>
    <x:row r="46">
      <x:c r="A46" s="105"/>
      <x:c r="B46" s="105"/>
      <x:c r="C46" s="105"/>
      <x:c r="D46" s="105"/>
      <x:c r="E46" s="105"/>
      <x:c r="F46" s="105"/>
      <x:c r="G46" s="105"/>
      <x:c r="H46" s="105"/>
      <x:c r="I46" s="105"/>
      <x:c r="J46" s="105"/>
      <x:c r="K46" s="105"/>
      <x:c r="L46" s="105"/>
      <x:c r="M46" s="105"/>
      <x:c r="N46" s="105"/>
      <x:c r="O46" s="105"/>
      <x:c r="P46" s="105"/>
      <x:c r="Q46" s="105"/>
      <x:c r="R46" s="105"/>
      <x:c r="S46" s="105"/>
      <x:c r="T46" s="105"/>
      <x:c r="U46" s="105"/>
    </x:row>
    <x:row r="47">
      <x:c r="A47" s="105"/>
      <x:c r="B47" s="105"/>
      <x:c r="C47" s="105"/>
      <x:c r="D47" s="105"/>
      <x:c r="E47" s="105"/>
      <x:c r="F47" s="105"/>
      <x:c r="G47" s="105"/>
      <x:c r="H47" s="105"/>
      <x:c r="I47" s="105"/>
      <x:c r="J47" s="105"/>
      <x:c r="K47" s="105"/>
      <x:c r="L47" s="105"/>
      <x:c r="M47" s="105"/>
      <x:c r="N47" s="105"/>
      <x:c r="O47" s="105"/>
      <x:c r="P47" s="105"/>
      <x:c r="Q47" s="105"/>
      <x:c r="R47" s="105"/>
      <x:c r="S47" s="105"/>
      <x:c r="T47" s="105"/>
      <x:c r="U47" s="105"/>
    </x:row>
    <x:row r="48">
      <x:c r="A48" s="105"/>
      <x:c r="B48" s="105"/>
      <x:c r="C48" s="105"/>
      <x:c r="D48" s="105"/>
      <x:c r="E48" s="105"/>
      <x:c r="F48" s="105"/>
      <x:c r="G48" s="105"/>
      <x:c r="H48" s="105"/>
      <x:c r="I48" s="105"/>
      <x:c r="J48" s="105"/>
      <x:c r="K48" s="105"/>
      <x:c r="L48" s="105"/>
      <x:c r="M48" s="105"/>
      <x:c r="N48" s="105"/>
      <x:c r="O48" s="105"/>
      <x:c r="P48" s="105"/>
      <x:c r="Q48" s="105"/>
      <x:c r="R48" s="105"/>
      <x:c r="S48" s="105"/>
      <x:c r="T48" s="105"/>
      <x:c r="U48" s="105"/>
    </x:row>
    <x:row r="49">
      <x:c r="A49" s="105"/>
      <x:c r="B49" s="105"/>
      <x:c r="C49" s="105"/>
      <x:c r="D49" s="105"/>
      <x:c r="E49" s="105"/>
      <x:c r="F49" s="105"/>
      <x:c r="G49" s="105"/>
      <x:c r="H49" s="105"/>
      <x:c r="I49" s="105"/>
      <x:c r="J49" s="105"/>
      <x:c r="K49" s="105"/>
      <x:c r="L49" s="105"/>
      <x:c r="M49" s="105"/>
      <x:c r="N49" s="105"/>
      <x:c r="O49" s="105"/>
      <x:c r="P49" s="105"/>
      <x:c r="Q49" s="105"/>
      <x:c r="R49" s="105"/>
      <x:c r="S49" s="105"/>
      <x:c r="T49" s="105"/>
      <x:c r="U49" s="105"/>
    </x:row>
    <x:row r="50">
      <x:c r="A50" s="105"/>
      <x:c r="B50" s="105"/>
      <x:c r="C50" s="105"/>
      <x:c r="D50" s="105"/>
      <x:c r="E50" s="105"/>
      <x:c r="F50" s="105"/>
      <x:c r="G50" s="105"/>
      <x:c r="H50" s="105"/>
      <x:c r="I50" s="105"/>
      <x:c r="J50" s="105"/>
      <x:c r="K50" s="105"/>
      <x:c r="L50" s="105"/>
      <x:c r="M50" s="105"/>
      <x:c r="N50" s="105"/>
      <x:c r="O50" s="105"/>
      <x:c r="P50" s="105"/>
      <x:c r="Q50" s="105"/>
      <x:c r="R50" s="105"/>
      <x:c r="S50" s="105"/>
      <x:c r="T50" s="105"/>
      <x:c r="U50" s="105"/>
    </x:row>
    <x:row r="51">
      <x:c r="A51" s="105"/>
      <x:c r="B51" s="105"/>
      <x:c r="C51" s="105"/>
      <x:c r="D51" s="105"/>
      <x:c r="E51" s="105"/>
      <x:c r="F51" s="105"/>
      <x:c r="G51" s="105"/>
      <x:c r="H51" s="105"/>
      <x:c r="I51" s="105"/>
      <x:c r="J51" s="105"/>
      <x:c r="K51" s="105"/>
      <x:c r="L51" s="105"/>
      <x:c r="M51" s="105"/>
      <x:c r="N51" s="105"/>
      <x:c r="O51" s="105"/>
      <x:c r="P51" s="105"/>
      <x:c r="Q51" s="105"/>
      <x:c r="R51" s="105"/>
      <x:c r="S51" s="105"/>
      <x:c r="T51" s="105"/>
      <x:c r="U51" s="105"/>
    </x:row>
    <x:row r="52">
      <x:c r="A52" s="105"/>
      <x:c r="B52" s="105"/>
      <x:c r="C52" s="105"/>
      <x:c r="D52" s="105"/>
      <x:c r="E52" s="105"/>
      <x:c r="F52" s="105"/>
      <x:c r="G52" s="105"/>
      <x:c r="H52" s="105"/>
      <x:c r="I52" s="105"/>
      <x:c r="J52" s="105"/>
      <x:c r="K52" s="105"/>
      <x:c r="L52" s="105"/>
      <x:c r="M52" s="105"/>
      <x:c r="N52" s="105"/>
      <x:c r="O52" s="105"/>
      <x:c r="P52" s="105"/>
      <x:c r="Q52" s="105"/>
      <x:c r="R52" s="105"/>
      <x:c r="S52" s="105"/>
      <x:c r="T52" s="105"/>
      <x:c r="U52" s="105"/>
    </x:row>
    <x:row r="53">
      <x:c r="A53" s="105"/>
      <x:c r="B53" s="105"/>
      <x:c r="C53" s="105"/>
      <x:c r="D53" s="105"/>
      <x:c r="E53" s="105"/>
      <x:c r="F53" s="105"/>
      <x:c r="G53" s="105"/>
      <x:c r="H53" s="105"/>
      <x:c r="I53" s="105"/>
      <x:c r="J53" s="105"/>
      <x:c r="K53" s="105"/>
      <x:c r="L53" s="105"/>
      <x:c r="M53" s="105"/>
      <x:c r="N53" s="105"/>
      <x:c r="O53" s="105"/>
      <x:c r="P53" s="105"/>
      <x:c r="Q53" s="105"/>
      <x:c r="R53" s="105"/>
      <x:c r="S53" s="105"/>
      <x:c r="T53" s="105"/>
      <x:c r="U53" s="105"/>
    </x:row>
    <x:row r="54">
      <x:c r="A54" s="105"/>
      <x:c r="B54" s="105"/>
      <x:c r="C54" s="105"/>
      <x:c r="D54" s="105"/>
      <x:c r="E54" s="105"/>
      <x:c r="F54" s="105"/>
      <x:c r="G54" s="105"/>
      <x:c r="H54" s="105"/>
      <x:c r="I54" s="105"/>
      <x:c r="J54" s="105"/>
      <x:c r="K54" s="105"/>
      <x:c r="L54" s="105"/>
      <x:c r="M54" s="105"/>
      <x:c r="N54" s="105"/>
      <x:c r="O54" s="105"/>
      <x:c r="P54" s="105"/>
      <x:c r="Q54" s="105"/>
      <x:c r="R54" s="105"/>
      <x:c r="S54" s="105"/>
      <x:c r="T54" s="105"/>
      <x:c r="U54" s="105"/>
    </x:row>
    <x:row r="55">
      <x:c r="A55" s="105"/>
      <x:c r="B55" s="105"/>
      <x:c r="C55" s="105"/>
      <x:c r="D55" s="105"/>
      <x:c r="E55" s="105"/>
      <x:c r="F55" s="105"/>
      <x:c r="G55" s="105"/>
      <x:c r="H55" s="105"/>
      <x:c r="I55" s="105"/>
      <x:c r="J55" s="105"/>
      <x:c r="K55" s="105"/>
      <x:c r="L55" s="105"/>
      <x:c r="M55" s="105"/>
      <x:c r="N55" s="105"/>
      <x:c r="O55" s="105"/>
      <x:c r="P55" s="105"/>
      <x:c r="Q55" s="105"/>
      <x:c r="R55" s="105"/>
      <x:c r="S55" s="105"/>
      <x:c r="T55" s="105"/>
      <x:c r="U55" s="105"/>
    </x:row>
    <x:row r="56">
      <x:c r="A56" s="105"/>
      <x:c r="B56" s="105"/>
      <x:c r="C56" s="105"/>
      <x:c r="D56" s="105"/>
      <x:c r="E56" s="105"/>
      <x:c r="F56" s="105"/>
      <x:c r="G56" s="105"/>
      <x:c r="H56" s="105"/>
      <x:c r="I56" s="105"/>
      <x:c r="J56" s="105"/>
      <x:c r="K56" s="105"/>
      <x:c r="L56" s="105"/>
      <x:c r="M56" s="105"/>
      <x:c r="N56" s="105"/>
      <x:c r="O56" s="105"/>
      <x:c r="P56" s="105"/>
      <x:c r="Q56" s="105"/>
      <x:c r="R56" s="105"/>
      <x:c r="S56" s="105"/>
      <x:c r="T56" s="105"/>
      <x:c r="U56" s="105"/>
    </x:row>
    <x:row r="57">
      <x:c r="A57" s="105"/>
      <x:c r="B57" s="105"/>
      <x:c r="C57" s="105"/>
      <x:c r="D57" s="105"/>
      <x:c r="E57" s="105"/>
      <x:c r="F57" s="105"/>
      <x:c r="G57" s="105"/>
      <x:c r="H57" s="105"/>
      <x:c r="I57" s="105"/>
      <x:c r="J57" s="105"/>
      <x:c r="K57" s="105"/>
      <x:c r="L57" s="105"/>
      <x:c r="M57" s="105"/>
      <x:c r="N57" s="105"/>
      <x:c r="O57" s="105"/>
      <x:c r="P57" s="105"/>
      <x:c r="Q57" s="105"/>
      <x:c r="R57" s="105"/>
      <x:c r="S57" s="105"/>
      <x:c r="T57" s="105"/>
      <x:c r="U57" s="105"/>
    </x:row>
    <x:row r="58">
      <x:c r="A58" s="105"/>
      <x:c r="B58" s="105"/>
      <x:c r="C58" s="105"/>
      <x:c r="D58" s="105"/>
      <x:c r="E58" s="105"/>
      <x:c r="F58" s="105"/>
      <x:c r="G58" s="105"/>
      <x:c r="H58" s="105"/>
      <x:c r="I58" s="105"/>
      <x:c r="J58" s="105"/>
      <x:c r="K58" s="105"/>
      <x:c r="L58" s="105"/>
      <x:c r="M58" s="105"/>
      <x:c r="N58" s="105"/>
      <x:c r="O58" s="105"/>
      <x:c r="P58" s="105"/>
      <x:c r="Q58" s="105"/>
      <x:c r="R58" s="105"/>
      <x:c r="S58" s="105"/>
      <x:c r="T58" s="105"/>
      <x:c r="U58" s="105"/>
    </x:row>
    <x:row r="59">
      <x:c r="A59" s="105"/>
      <x:c r="B59" s="105"/>
      <x:c r="C59" s="105"/>
      <x:c r="D59" s="105"/>
      <x:c r="E59" s="105"/>
      <x:c r="F59" s="105"/>
      <x:c r="G59" s="105"/>
      <x:c r="H59" s="105"/>
      <x:c r="I59" s="105"/>
      <x:c r="J59" s="105"/>
      <x:c r="K59" s="105"/>
      <x:c r="L59" s="105"/>
      <x:c r="M59" s="105"/>
      <x:c r="N59" s="105"/>
      <x:c r="O59" s="105"/>
      <x:c r="P59" s="105"/>
      <x:c r="Q59" s="105"/>
      <x:c r="R59" s="105"/>
      <x:c r="S59" s="105"/>
      <x:c r="T59" s="105"/>
      <x:c r="U59" s="105"/>
    </x:row>
    <x:row r="60">
      <x:c r="A60" s="105"/>
      <x:c r="B60" s="105"/>
      <x:c r="C60" s="105"/>
      <x:c r="D60" s="105"/>
      <x:c r="E60" s="105"/>
      <x:c r="F60" s="105"/>
      <x:c r="G60" s="105"/>
      <x:c r="H60" s="105"/>
      <x:c r="I60" s="105"/>
      <x:c r="J60" s="105"/>
      <x:c r="K60" s="105"/>
      <x:c r="L60" s="105"/>
      <x:c r="M60" s="105"/>
      <x:c r="N60" s="105"/>
      <x:c r="O60" s="105"/>
      <x:c r="P60" s="105"/>
      <x:c r="Q60" s="105"/>
      <x:c r="R60" s="105"/>
      <x:c r="S60" s="105"/>
      <x:c r="T60" s="105"/>
      <x:c r="U60" s="105"/>
    </x:row>
    <x:row r="61">
      <x:c r="A61" s="105"/>
      <x:c r="B61" s="105"/>
      <x:c r="C61" s="105"/>
      <x:c r="D61" s="105"/>
      <x:c r="E61" s="105"/>
      <x:c r="F61" s="105"/>
      <x:c r="G61" s="105"/>
      <x:c r="H61" s="105"/>
      <x:c r="I61" s="105"/>
      <x:c r="J61" s="105"/>
      <x:c r="K61" s="105"/>
      <x:c r="L61" s="105"/>
      <x:c r="M61" s="105"/>
      <x:c r="N61" s="105"/>
      <x:c r="O61" s="105"/>
      <x:c r="P61" s="105"/>
      <x:c r="Q61" s="105"/>
      <x:c r="R61" s="105"/>
      <x:c r="S61" s="105"/>
      <x:c r="T61" s="105"/>
      <x:c r="U61" s="105"/>
    </x:row>
    <x:row r="62">
      <x:c r="A62" s="105"/>
      <x:c r="B62" s="105"/>
      <x:c r="C62" s="105"/>
      <x:c r="D62" s="105"/>
      <x:c r="E62" s="105"/>
      <x:c r="F62" s="105"/>
      <x:c r="G62" s="105"/>
      <x:c r="H62" s="105"/>
      <x:c r="I62" s="105"/>
      <x:c r="J62" s="105"/>
      <x:c r="K62" s="105"/>
      <x:c r="L62" s="105"/>
      <x:c r="M62" s="105"/>
      <x:c r="N62" s="105"/>
      <x:c r="O62" s="105"/>
      <x:c r="P62" s="105"/>
      <x:c r="Q62" s="105"/>
      <x:c r="R62" s="105"/>
      <x:c r="S62" s="105"/>
      <x:c r="T62" s="105"/>
      <x:c r="U62" s="105"/>
    </x:row>
    <x:row r="63">
      <x:c r="A63" s="105"/>
      <x:c r="B63" s="105"/>
      <x:c r="C63" s="105"/>
      <x:c r="D63" s="105"/>
      <x:c r="E63" s="105"/>
      <x:c r="F63" s="105"/>
      <x:c r="G63" s="105"/>
      <x:c r="H63" s="105"/>
      <x:c r="I63" s="105"/>
      <x:c r="J63" s="105"/>
      <x:c r="K63" s="105"/>
      <x:c r="L63" s="105"/>
      <x:c r="M63" s="105"/>
      <x:c r="N63" s="105"/>
      <x:c r="O63" s="105"/>
      <x:c r="P63" s="105"/>
      <x:c r="Q63" s="105"/>
      <x:c r="R63" s="105"/>
      <x:c r="S63" s="105"/>
      <x:c r="T63" s="105"/>
      <x:c r="U63" s="105"/>
    </x:row>
    <x:row r="64">
      <x:c r="A64" s="105"/>
      <x:c r="B64" s="105"/>
      <x:c r="C64" s="105"/>
      <x:c r="D64" s="105"/>
      <x:c r="E64" s="105"/>
      <x:c r="F64" s="105"/>
      <x:c r="G64" s="105"/>
      <x:c r="H64" s="105"/>
      <x:c r="I64" s="105"/>
      <x:c r="J64" s="105"/>
      <x:c r="K64" s="105"/>
      <x:c r="L64" s="105"/>
      <x:c r="M64" s="105"/>
      <x:c r="N64" s="105"/>
      <x:c r="O64" s="105"/>
      <x:c r="P64" s="105"/>
      <x:c r="Q64" s="105"/>
      <x:c r="R64" s="105"/>
      <x:c r="S64" s="105"/>
      <x:c r="T64" s="105"/>
      <x:c r="U64" s="105"/>
    </x:row>
    <x:row r="65">
      <x:c r="A65" s="105"/>
      <x:c r="B65" s="105"/>
      <x:c r="C65" s="105"/>
      <x:c r="D65" s="105"/>
      <x:c r="E65" s="105"/>
      <x:c r="F65" s="105"/>
      <x:c r="G65" s="105"/>
      <x:c r="H65" s="105"/>
      <x:c r="I65" s="105"/>
      <x:c r="J65" s="105"/>
      <x:c r="K65" s="105"/>
      <x:c r="L65" s="105"/>
      <x:c r="M65" s="105"/>
      <x:c r="N65" s="105"/>
      <x:c r="O65" s="105"/>
      <x:c r="P65" s="105"/>
      <x:c r="Q65" s="105"/>
      <x:c r="R65" s="105"/>
      <x:c r="S65" s="105"/>
      <x:c r="T65" s="105"/>
      <x:c r="U65" s="105"/>
    </x:row>
    <x:row r="66">
      <x:c r="A66" s="105"/>
      <x:c r="B66" s="105"/>
      <x:c r="C66" s="105"/>
      <x:c r="D66" s="105"/>
      <x:c r="E66" s="105"/>
      <x:c r="F66" s="105"/>
      <x:c r="G66" s="105"/>
      <x:c r="H66" s="105"/>
      <x:c r="I66" s="105"/>
      <x:c r="J66" s="105"/>
      <x:c r="K66" s="105"/>
      <x:c r="L66" s="105"/>
      <x:c r="M66" s="105"/>
      <x:c r="N66" s="105"/>
      <x:c r="O66" s="105"/>
      <x:c r="P66" s="105"/>
      <x:c r="Q66" s="105"/>
      <x:c r="R66" s="105"/>
      <x:c r="S66" s="105"/>
      <x:c r="T66" s="105"/>
      <x:c r="U66" s="105"/>
    </x:row>
    <x:row r="67">
      <x:c r="A67" s="105"/>
      <x:c r="B67" s="105"/>
      <x:c r="C67" s="105"/>
      <x:c r="D67" s="105"/>
      <x:c r="E67" s="105"/>
      <x:c r="F67" s="105"/>
      <x:c r="G67" s="105"/>
      <x:c r="H67" s="105"/>
      <x:c r="I67" s="105"/>
      <x:c r="J67" s="105"/>
      <x:c r="K67" s="105"/>
      <x:c r="L67" s="105"/>
      <x:c r="M67" s="105"/>
      <x:c r="N67" s="105"/>
      <x:c r="O67" s="105"/>
      <x:c r="P67" s="105"/>
      <x:c r="Q67" s="105"/>
      <x:c r="R67" s="105"/>
      <x:c r="S67" s="105"/>
      <x:c r="T67" s="105"/>
      <x:c r="U67" s="105"/>
    </x:row>
    <x:row r="68">
      <x:c r="A68" s="105"/>
      <x:c r="B68" s="105"/>
      <x:c r="C68" s="105"/>
      <x:c r="D68" s="105"/>
      <x:c r="E68" s="105"/>
      <x:c r="F68" s="105"/>
      <x:c r="G68" s="105"/>
      <x:c r="H68" s="105"/>
      <x:c r="I68" s="105"/>
      <x:c r="J68" s="105"/>
      <x:c r="K68" s="105"/>
      <x:c r="L68" s="105"/>
      <x:c r="M68" s="105"/>
      <x:c r="N68" s="105"/>
      <x:c r="O68" s="105"/>
      <x:c r="P68" s="105"/>
      <x:c r="Q68" s="105"/>
      <x:c r="R68" s="105"/>
      <x:c r="S68" s="105"/>
      <x:c r="T68" s="105"/>
      <x:c r="U68" s="105"/>
    </x:row>
    <x:row r="69">
      <x:c r="A69" s="105"/>
      <x:c r="B69" s="105"/>
      <x:c r="C69" s="105"/>
      <x:c r="D69" s="105"/>
      <x:c r="E69" s="105"/>
      <x:c r="F69" s="105"/>
      <x:c r="G69" s="105"/>
      <x:c r="H69" s="105"/>
      <x:c r="I69" s="105"/>
      <x:c r="J69" s="105"/>
      <x:c r="K69" s="105"/>
      <x:c r="L69" s="105"/>
      <x:c r="M69" s="105"/>
      <x:c r="N69" s="105"/>
      <x:c r="O69" s="105"/>
      <x:c r="P69" s="105"/>
      <x:c r="Q69" s="105"/>
      <x:c r="R69" s="105"/>
      <x:c r="S69" s="105"/>
      <x:c r="T69" s="105"/>
      <x:c r="U69" s="105"/>
    </x:row>
    <x:row r="70">
      <x:c r="A70" s="105"/>
      <x:c r="B70" s="105"/>
      <x:c r="C70" s="105"/>
      <x:c r="D70" s="105"/>
      <x:c r="E70" s="105"/>
      <x:c r="F70" s="105"/>
      <x:c r="G70" s="105"/>
      <x:c r="H70" s="105"/>
      <x:c r="I70" s="105"/>
      <x:c r="J70" s="105"/>
      <x:c r="K70" s="105"/>
      <x:c r="L70" s="105"/>
      <x:c r="M70" s="105"/>
      <x:c r="N70" s="105"/>
      <x:c r="O70" s="105"/>
      <x:c r="P70" s="105"/>
      <x:c r="Q70" s="105"/>
      <x:c r="R70" s="105"/>
      <x:c r="S70" s="105"/>
      <x:c r="T70" s="105"/>
      <x:c r="U70" s="105"/>
    </x:row>
    <x:row r="71">
      <x:c r="A71" s="105"/>
      <x:c r="B71" s="105"/>
      <x:c r="C71" s="105"/>
      <x:c r="D71" s="105"/>
      <x:c r="E71" s="105"/>
      <x:c r="F71" s="105"/>
      <x:c r="G71" s="105"/>
      <x:c r="H71" s="105"/>
      <x:c r="I71" s="105"/>
      <x:c r="J71" s="105"/>
      <x:c r="K71" s="105"/>
      <x:c r="L71" s="105"/>
      <x:c r="M71" s="105"/>
      <x:c r="N71" s="105"/>
      <x:c r="O71" s="105"/>
      <x:c r="P71" s="105"/>
      <x:c r="Q71" s="105"/>
      <x:c r="R71" s="105"/>
      <x:c r="S71" s="105"/>
      <x:c r="T71" s="105"/>
      <x:c r="U71" s="105"/>
    </x:row>
    <x:row r="72">
      <x:c r="A72" s="105"/>
      <x:c r="B72" s="105"/>
      <x:c r="C72" s="105"/>
      <x:c r="D72" s="105"/>
      <x:c r="E72" s="105"/>
      <x:c r="F72" s="105"/>
      <x:c r="G72" s="105"/>
      <x:c r="H72" s="105"/>
      <x:c r="I72" s="105"/>
      <x:c r="J72" s="105"/>
      <x:c r="K72" s="105"/>
      <x:c r="L72" s="105"/>
      <x:c r="M72" s="105"/>
      <x:c r="N72" s="105"/>
      <x:c r="O72" s="105"/>
      <x:c r="P72" s="105"/>
      <x:c r="Q72" s="105"/>
      <x:c r="R72" s="105"/>
      <x:c r="S72" s="105"/>
      <x:c r="T72" s="105"/>
      <x:c r="U72" s="105"/>
    </x:row>
    <x:row r="73">
      <x:c r="A73" s="105"/>
      <x:c r="B73" s="105"/>
      <x:c r="C73" s="105"/>
      <x:c r="D73" s="105"/>
      <x:c r="E73" s="105"/>
      <x:c r="F73" s="105"/>
      <x:c r="G73" s="105"/>
      <x:c r="H73" s="105"/>
      <x:c r="I73" s="105"/>
      <x:c r="J73" s="105"/>
      <x:c r="K73" s="105"/>
      <x:c r="L73" s="105"/>
      <x:c r="M73" s="105"/>
      <x:c r="N73" s="105"/>
      <x:c r="O73" s="105"/>
      <x:c r="P73" s="105"/>
      <x:c r="Q73" s="105"/>
      <x:c r="R73" s="105"/>
      <x:c r="S73" s="105"/>
      <x:c r="T73" s="105"/>
      <x:c r="U73" s="105"/>
    </x:row>
    <x:row r="74">
      <x:c r="A74" s="105"/>
      <x:c r="B74" s="105"/>
      <x:c r="C74" s="105"/>
      <x:c r="D74" s="105"/>
      <x:c r="E74" s="105"/>
      <x:c r="F74" s="105"/>
      <x:c r="G74" s="105"/>
      <x:c r="H74" s="105"/>
      <x:c r="I74" s="105"/>
      <x:c r="J74" s="105"/>
      <x:c r="K74" s="105"/>
      <x:c r="L74" s="105"/>
      <x:c r="M74" s="105"/>
      <x:c r="N74" s="105"/>
      <x:c r="O74" s="105"/>
      <x:c r="P74" s="105"/>
      <x:c r="Q74" s="105"/>
      <x:c r="R74" s="105"/>
      <x:c r="S74" s="105"/>
      <x:c r="T74" s="105"/>
      <x:c r="U74" s="105"/>
    </x:row>
    <x:row r="75">
      <x:c r="A75" s="105"/>
      <x:c r="B75" s="105"/>
      <x:c r="C75" s="105"/>
      <x:c r="D75" s="105"/>
      <x:c r="E75" s="105"/>
      <x:c r="F75" s="105"/>
      <x:c r="G75" s="105"/>
      <x:c r="H75" s="105"/>
      <x:c r="I75" s="105"/>
      <x:c r="J75" s="105"/>
      <x:c r="K75" s="105"/>
      <x:c r="L75" s="105"/>
      <x:c r="M75" s="105"/>
      <x:c r="N75" s="105"/>
      <x:c r="O75" s="105"/>
      <x:c r="P75" s="105"/>
      <x:c r="Q75" s="105"/>
      <x:c r="R75" s="105"/>
      <x:c r="S75" s="105"/>
      <x:c r="T75" s="105"/>
      <x:c r="U75" s="105"/>
    </x:row>
    <x:row r="76">
      <x:c r="A76" s="105"/>
      <x:c r="B76" s="105"/>
      <x:c r="C76" s="105"/>
      <x:c r="D76" s="105"/>
      <x:c r="E76" s="105"/>
      <x:c r="F76" s="105"/>
      <x:c r="G76" s="105"/>
      <x:c r="H76" s="105"/>
      <x:c r="I76" s="105"/>
      <x:c r="J76" s="105"/>
      <x:c r="K76" s="105"/>
      <x:c r="L76" s="105"/>
      <x:c r="M76" s="105"/>
      <x:c r="N76" s="105"/>
      <x:c r="O76" s="105"/>
      <x:c r="P76" s="105"/>
      <x:c r="Q76" s="105"/>
      <x:c r="R76" s="105"/>
      <x:c r="S76" s="105"/>
      <x:c r="T76" s="105"/>
      <x:c r="U76" s="105"/>
    </x:row>
    <x:row r="77">
      <x:c r="A77" s="105"/>
      <x:c r="B77" s="105"/>
      <x:c r="C77" s="105"/>
      <x:c r="D77" s="105"/>
      <x:c r="E77" s="105"/>
      <x:c r="F77" s="105"/>
      <x:c r="G77" s="105"/>
      <x:c r="H77" s="105"/>
      <x:c r="I77" s="105"/>
      <x:c r="J77" s="105"/>
      <x:c r="K77" s="105"/>
      <x:c r="L77" s="105"/>
      <x:c r="M77" s="105"/>
      <x:c r="N77" s="105"/>
      <x:c r="O77" s="105"/>
      <x:c r="P77" s="105"/>
      <x:c r="Q77" s="105"/>
      <x:c r="R77" s="105"/>
      <x:c r="S77" s="105"/>
      <x:c r="T77" s="105"/>
      <x:c r="U77" s="105"/>
    </x:row>
    <x:row r="78">
      <x:c r="A78" s="105"/>
      <x:c r="B78" s="105"/>
      <x:c r="C78" s="105"/>
      <x:c r="D78" s="105"/>
      <x:c r="E78" s="105"/>
      <x:c r="F78" s="105"/>
      <x:c r="G78" s="105"/>
      <x:c r="H78" s="105"/>
      <x:c r="I78" s="105"/>
      <x:c r="J78" s="105"/>
      <x:c r="K78" s="105"/>
      <x:c r="L78" s="105"/>
      <x:c r="M78" s="105"/>
      <x:c r="N78" s="105"/>
      <x:c r="O78" s="105"/>
      <x:c r="P78" s="105"/>
      <x:c r="Q78" s="105"/>
      <x:c r="R78" s="105"/>
      <x:c r="S78" s="105"/>
      <x:c r="T78" s="105"/>
      <x:c r="U78" s="105"/>
    </x:row>
    <x:row r="79">
      <x:c r="A79" s="105"/>
      <x:c r="B79" s="105"/>
      <x:c r="C79" s="105"/>
      <x:c r="D79" s="105"/>
      <x:c r="E79" s="105"/>
      <x:c r="F79" s="105"/>
      <x:c r="G79" s="105"/>
      <x:c r="H79" s="105"/>
      <x:c r="I79" s="105"/>
      <x:c r="J79" s="105"/>
      <x:c r="K79" s="105"/>
      <x:c r="L79" s="105"/>
      <x:c r="M79" s="105"/>
      <x:c r="N79" s="105"/>
      <x:c r="O79" s="105"/>
      <x:c r="P79" s="105"/>
      <x:c r="Q79" s="105"/>
      <x:c r="R79" s="105"/>
      <x:c r="S79" s="105"/>
      <x:c r="T79" s="105"/>
      <x:c r="U79" s="105"/>
    </x:row>
    <x:row r="80">
      <x:c r="A80" s="105"/>
      <x:c r="B80" s="105"/>
      <x:c r="C80" s="105"/>
      <x:c r="D80" s="105"/>
      <x:c r="E80" s="105"/>
      <x:c r="F80" s="105"/>
      <x:c r="G80" s="105"/>
      <x:c r="H80" s="105"/>
      <x:c r="I80" s="105"/>
      <x:c r="J80" s="105"/>
      <x:c r="K80" s="105"/>
      <x:c r="L80" s="105"/>
      <x:c r="M80" s="105"/>
      <x:c r="N80" s="105"/>
      <x:c r="O80" s="105"/>
      <x:c r="P80" s="105"/>
      <x:c r="Q80" s="105"/>
      <x:c r="R80" s="105"/>
      <x:c r="S80" s="105"/>
      <x:c r="T80" s="105"/>
      <x:c r="U80" s="105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4" max="4" width="28" hidden="0" customWidth="1"/>
    <x:col min="5" max="5" width="22" hidden="0" customWidth="1"/>
  </x:cols>
  <x:sheetData>
    <x:row r="1">
      <x:c r="A1" s="104" t="str">
        <x:v>Placement Simulator — Pick Any Building + Any Parcel</x:v>
      </x:c>
      <x:c r="B1" s="104"/>
      <x:c r="C1" s="104"/>
      <x:c r="D1" s="104"/>
      <x:c r="E1" s="104"/>
      <x:c r="F1" s="104"/>
      <x:c r="G1" s="104"/>
      <x:c r="H1" s="104"/>
      <x:c r="I1" s="105"/>
      <x:c r="J1" s="105"/>
      <x:c r="K1" s="105"/>
      <x:c r="L1" s="105"/>
      <x:c r="M1" s="105"/>
      <x:c r="N1" s="105"/>
      <x:c r="O1" s="105"/>
      <x:c r="P1" s="105"/>
      <x:c r="Q1" s="105"/>
      <x:c r="R1" s="105"/>
      <x:c r="S1" s="105"/>
      <x:c r="T1" s="105"/>
      <x:c r="U1" s="105"/>
    </x:row>
    <x:row r="2">
      <x:c r="A2" s="105"/>
      <x:c r="B2" s="105"/>
      <x:c r="C2" s="105"/>
      <x:c r="D2" s="105"/>
      <x:c r="E2" s="105"/>
      <x:c r="F2" s="105"/>
      <x:c r="G2" s="105"/>
      <x:c r="H2" s="105"/>
      <x:c r="I2" s="105"/>
      <x:c r="J2" s="105"/>
      <x:c r="K2" s="105"/>
      <x:c r="L2" s="105"/>
      <x:c r="M2" s="105"/>
      <x:c r="N2" s="105"/>
      <x:c r="O2" s="105"/>
      <x:c r="P2" s="105"/>
      <x:c r="Q2" s="105"/>
      <x:c r="R2" s="105"/>
      <x:c r="S2" s="105"/>
      <x:c r="T2" s="105"/>
      <x:c r="U2" s="105"/>
    </x:row>
    <x:row r="3">
      <x:c r="A3" s="109" t="str">
        <x:v>Building</x:v>
      </x:c>
      <x:c r="B3" s="130" t="str">
        <x:v>Cash Kiosk</x:v>
      </x:c>
      <x:c r="C3" s="105"/>
      <x:c r="D3" s="108" t="str">
        <x:v>Metric</x:v>
      </x:c>
      <x:c r="E3" s="108" t="str">
        <x:v>Value</x:v>
      </x:c>
      <x:c r="F3" s="105"/>
      <x:c r="G3" s="105"/>
      <x:c r="H3" s="105"/>
      <x:c r="I3" s="105"/>
      <x:c r="J3" s="105"/>
      <x:c r="K3" s="105"/>
      <x:c r="L3" s="105"/>
      <x:c r="M3" s="105"/>
      <x:c r="N3" s="105"/>
      <x:c r="O3" s="105"/>
      <x:c r="P3" s="105"/>
      <x:c r="Q3" s="105"/>
      <x:c r="R3" s="105"/>
      <x:c r="S3" s="105"/>
      <x:c r="T3" s="105"/>
      <x:c r="U3" s="105"/>
    </x:row>
    <x:row r="4">
      <x:c r="A4" s="109" t="str">
        <x:v>Parcel</x:v>
      </x:c>
      <x:c r="B4" s="130" t="str">
        <x:v>D05</x:v>
      </x:c>
      <x:c r="C4" s="105"/>
      <x:c r="D4" s="105" t="str">
        <x:v>Category</x:v>
      </x:c>
      <x:c r="E4" s="196" t="str">
        <x:f>VLOOKUP($B$3,'Building Balance'!$B$2:$M$51,4,FALSE)</x:f>
        <x:v>Retail Finance</x:v>
      </x:c>
      <x:c r="F4" s="105"/>
      <x:c r="G4" s="105"/>
      <x:c r="H4" s="105"/>
      <x:c r="I4" s="105"/>
      <x:c r="J4" s="105"/>
      <x:c r="K4" s="105"/>
      <x:c r="L4" s="105"/>
      <x:c r="M4" s="105"/>
      <x:c r="N4" s="105"/>
      <x:c r="O4" s="105"/>
      <x:c r="P4" s="105"/>
      <x:c r="Q4" s="105"/>
      <x:c r="R4" s="105"/>
      <x:c r="S4" s="105"/>
      <x:c r="T4" s="105"/>
      <x:c r="U4" s="105"/>
    </x:row>
    <x:row r="5">
      <x:c r="A5" s="109" t="str">
        <x:v>Upgrade Stage</x:v>
      </x:c>
      <x:c r="B5" s="130" t="n">
        <x:v>1</x:v>
      </x:c>
      <x:c r="C5" s="105"/>
      <x:c r="D5" s="105" t="str">
        <x:v>Base Net / Day</x:v>
      </x:c>
      <x:c r="E5" s="110" t="n">
        <x:f>VLOOKUP($B$3,'Building Balance'!$B$2:$M$51,5,FALSE)</x:f>
        <x:v>25</x:v>
      </x:c>
      <x:c r="F5" s="105"/>
      <x:c r="G5" s="105"/>
      <x:c r="H5" s="105"/>
      <x:c r="I5" s="105"/>
      <x:c r="J5" s="105"/>
      <x:c r="K5" s="105"/>
      <x:c r="L5" s="105"/>
      <x:c r="M5" s="105"/>
      <x:c r="N5" s="105"/>
      <x:c r="O5" s="105"/>
      <x:c r="P5" s="105"/>
      <x:c r="Q5" s="105"/>
      <x:c r="R5" s="105"/>
      <x:c r="S5" s="105"/>
      <x:c r="T5" s="105"/>
      <x:c r="U5" s="105"/>
    </x:row>
    <x:row r="6">
      <x:c r="A6" s="105"/>
      <x:c r="B6" s="105"/>
      <x:c r="C6" s="105"/>
      <x:c r="D6" s="105" t="str">
        <x:v>Stage Net / Day</x:v>
      </x:c>
      <x:c r="E6" s="110" t="n">
        <x:f>IF($B$5=1,VLOOKUP($B$3,'Building Balance'!$B$2:$M$51,6,FALSE),IF($B$5=2,VLOOKUP($B$3,'Building Balance'!$B$2:$M$51,7,FALSE),VLOOKUP($B$3,'Building Balance'!$B$2:$M$51,8,FALSE)))</x:f>
        <x:v>25</x:v>
      </x:c>
      <x:c r="F6" s="105"/>
      <x:c r="G6" s="105"/>
      <x:c r="H6" s="105"/>
      <x:c r="I6" s="105"/>
      <x:c r="J6" s="105"/>
      <x:c r="K6" s="105"/>
      <x:c r="L6" s="105"/>
      <x:c r="M6" s="105"/>
      <x:c r="N6" s="105"/>
      <x:c r="O6" s="105"/>
      <x:c r="P6" s="105"/>
      <x:c r="Q6" s="105"/>
      <x:c r="R6" s="105"/>
      <x:c r="S6" s="105"/>
      <x:c r="T6" s="105"/>
      <x:c r="U6" s="105"/>
    </x:row>
    <x:row r="7">
      <x:c r="A7" s="105"/>
      <x:c r="B7" s="105"/>
      <x:c r="C7" s="105"/>
      <x:c r="D7" s="105" t="str">
        <x:v>Acquisition Mod</x:v>
      </x:c>
      <x:c r="E7" s="182" t="n">
        <x:f>VLOOKUP($B$4,'Hex Balance'!$A$2:$U$36,16,FALSE)</x:f>
        <x:v>0.995</x:v>
      </x:c>
      <x:c r="F7" s="105"/>
      <x:c r="G7" s="105"/>
      <x:c r="H7" s="105"/>
      <x:c r="I7" s="105"/>
      <x:c r="J7" s="105"/>
      <x:c r="K7" s="105"/>
      <x:c r="L7" s="105"/>
      <x:c r="M7" s="105"/>
      <x:c r="N7" s="105"/>
      <x:c r="O7" s="105"/>
      <x:c r="P7" s="105"/>
      <x:c r="Q7" s="105"/>
      <x:c r="R7" s="105"/>
      <x:c r="S7" s="105"/>
      <x:c r="T7" s="105"/>
      <x:c r="U7" s="105"/>
    </x:row>
    <x:row r="8">
      <x:c r="A8" s="105"/>
      <x:c r="B8" s="105"/>
      <x:c r="C8" s="105"/>
      <x:c r="D8" s="105" t="str">
        <x:v>Premium Mix Mod</x:v>
      </x:c>
      <x:c r="E8" s="182" t="n">
        <x:f>VLOOKUP($B$4,'Hex Balance'!$A$2:$U$36,17,FALSE)</x:f>
        <x:v>1.0264</x:v>
      </x:c>
      <x:c r="F8" s="105"/>
      <x:c r="G8" s="105"/>
      <x:c r="H8" s="105"/>
      <x:c r="I8" s="105"/>
      <x:c r="J8" s="105"/>
      <x:c r="K8" s="105"/>
      <x:c r="L8" s="105"/>
      <x:c r="M8" s="105"/>
      <x:c r="N8" s="105"/>
      <x:c r="O8" s="105"/>
      <x:c r="P8" s="105"/>
      <x:c r="Q8" s="105"/>
      <x:c r="R8" s="105"/>
      <x:c r="S8" s="105"/>
      <x:c r="T8" s="105"/>
      <x:c r="U8" s="105"/>
    </x:row>
    <x:row r="9">
      <x:c r="A9" s="105"/>
      <x:c r="B9" s="105"/>
      <x:c r="C9" s="105"/>
      <x:c r="D9" s="105" t="str">
        <x:v>Efficiency Mod</x:v>
      </x:c>
      <x:c r="E9" s="182" t="n">
        <x:f>VLOOKUP($B$4,'Hex Balance'!$A$2:$U$36,18,FALSE)</x:f>
        <x:v>0.9922</x:v>
      </x:c>
      <x:c r="F9" s="105"/>
      <x:c r="G9" s="105"/>
      <x:c r="H9" s="105"/>
      <x:c r="I9" s="105"/>
      <x:c r="J9" s="105"/>
      <x:c r="K9" s="105"/>
      <x:c r="L9" s="105"/>
      <x:c r="M9" s="105"/>
      <x:c r="N9" s="105"/>
      <x:c r="O9" s="105"/>
      <x:c r="P9" s="105"/>
      <x:c r="Q9" s="105"/>
      <x:c r="R9" s="105"/>
      <x:c r="S9" s="105"/>
      <x:c r="T9" s="105"/>
      <x:c r="U9" s="105"/>
    </x:row>
    <x:row r="10">
      <x:c r="A10" s="105"/>
      <x:c r="B10" s="105"/>
      <x:c r="C10" s="105"/>
      <x:c r="D10" s="105" t="str">
        <x:v>Risk/Retention Mod</x:v>
      </x:c>
      <x:c r="E10" s="182" t="n">
        <x:f>VLOOKUP($B$4,'Hex Balance'!$A$2:$U$36,19,FALSE)</x:f>
        <x:v>1.0266</x:v>
      </x:c>
      <x:c r="F10" s="105"/>
      <x:c r="G10" s="105"/>
      <x:c r="H10" s="105"/>
      <x:c r="I10" s="105"/>
      <x:c r="J10" s="105"/>
      <x:c r="K10" s="105"/>
      <x:c r="L10" s="105"/>
      <x:c r="M10" s="105"/>
      <x:c r="N10" s="105"/>
      <x:c r="O10" s="105"/>
      <x:c r="P10" s="105"/>
      <x:c r="Q10" s="105"/>
      <x:c r="R10" s="105"/>
      <x:c r="S10" s="105"/>
      <x:c r="T10" s="105"/>
      <x:c r="U10" s="105"/>
    </x:row>
    <x:row r="11">
      <x:c r="A11" s="105"/>
      <x:c r="B11" s="105"/>
      <x:c r="C11" s="105"/>
      <x:c r="D11" s="105" t="str">
        <x:v>Category Acquisition Sens.</x:v>
      </x:c>
      <x:c r="E11" s="197" t="n">
        <x:f>VLOOKUP(E4,'Category Affinities'!$A$2:$M$12,2,FALSE)</x:f>
        <x:v>0.55</x:v>
      </x:c>
      <x:c r="F11" s="105"/>
      <x:c r="G11" s="105"/>
      <x:c r="H11" s="105"/>
      <x:c r="I11" s="105"/>
      <x:c r="J11" s="105"/>
      <x:c r="K11" s="105"/>
      <x:c r="L11" s="105"/>
      <x:c r="M11" s="105"/>
      <x:c r="N11" s="105"/>
      <x:c r="O11" s="105"/>
      <x:c r="P11" s="105"/>
      <x:c r="Q11" s="105"/>
      <x:c r="R11" s="105"/>
      <x:c r="S11" s="105"/>
      <x:c r="T11" s="105"/>
      <x:c r="U11" s="105"/>
    </x:row>
    <x:row r="12">
      <x:c r="A12" s="105"/>
      <x:c r="B12" s="105"/>
      <x:c r="C12" s="105"/>
      <x:c r="D12" s="105" t="str">
        <x:v>Category Premium Sens.</x:v>
      </x:c>
      <x:c r="E12" s="197" t="n">
        <x:f>VLOOKUP(E4,'Category Affinities'!$A$2:$M$12,3,FALSE)</x:f>
        <x:v>0.1</x:v>
      </x:c>
      <x:c r="F12" s="105"/>
      <x:c r="G12" s="105"/>
      <x:c r="H12" s="105"/>
      <x:c r="I12" s="105"/>
      <x:c r="J12" s="105"/>
      <x:c r="K12" s="105"/>
      <x:c r="L12" s="105"/>
      <x:c r="M12" s="105"/>
      <x:c r="N12" s="105"/>
      <x:c r="O12" s="105"/>
      <x:c r="P12" s="105"/>
      <x:c r="Q12" s="105"/>
      <x:c r="R12" s="105"/>
      <x:c r="S12" s="105"/>
      <x:c r="T12" s="105"/>
      <x:c r="U12" s="105"/>
    </x:row>
    <x:row r="13">
      <x:c r="A13" s="105"/>
      <x:c r="B13" s="105"/>
      <x:c r="C13" s="105"/>
      <x:c r="D13" s="105" t="str">
        <x:v>Category Efficiency Sens.</x:v>
      </x:c>
      <x:c r="E13" s="197" t="n">
        <x:f>VLOOKUP(E4,'Category Affinities'!$A$2:$M$12,4,FALSE)</x:f>
        <x:v>0.2</x:v>
      </x:c>
      <x:c r="F13" s="105"/>
      <x:c r="G13" s="105"/>
      <x:c r="H13" s="105"/>
      <x:c r="I13" s="105"/>
      <x:c r="J13" s="105"/>
      <x:c r="K13" s="105"/>
      <x:c r="L13" s="105"/>
      <x:c r="M13" s="105"/>
      <x:c r="N13" s="105"/>
      <x:c r="O13" s="105"/>
      <x:c r="P13" s="105"/>
      <x:c r="Q13" s="105"/>
      <x:c r="R13" s="105"/>
      <x:c r="S13" s="105"/>
      <x:c r="T13" s="105"/>
      <x:c r="U13" s="105"/>
    </x:row>
    <x:row r="14">
      <x:c r="A14" s="105"/>
      <x:c r="B14" s="105"/>
      <x:c r="C14" s="105"/>
      <x:c r="D14" s="105" t="str">
        <x:v>Category Risk Sens.</x:v>
      </x:c>
      <x:c r="E14" s="197" t="n">
        <x:f>VLOOKUP(E4,'Category Affinities'!$A$2:$M$12,5,FALSE)</x:f>
        <x:v>0.15</x:v>
      </x:c>
      <x:c r="F14" s="105"/>
      <x:c r="G14" s="105"/>
      <x:c r="H14" s="105"/>
      <x:c r="I14" s="105"/>
      <x:c r="J14" s="105"/>
      <x:c r="K14" s="105"/>
      <x:c r="L14" s="105"/>
      <x:c r="M14" s="105"/>
      <x:c r="N14" s="105"/>
      <x:c r="O14" s="105"/>
      <x:c r="P14" s="105"/>
      <x:c r="Q14" s="105"/>
      <x:c r="R14" s="105"/>
      <x:c r="S14" s="105"/>
      <x:c r="T14" s="105"/>
      <x:c r="U14" s="105"/>
    </x:row>
    <x:row r="15">
      <x:c r="A15" s="105"/>
      <x:c r="B15" s="105"/>
      <x:c r="C15" s="105"/>
      <x:c r="D15" s="105" t="str">
        <x:v>Projected Placement Mult</x:v>
      </x:c>
      <x:c r="E15" s="182" t="n">
        <x:f>MAX(Assumptions!$B$12,MIN(Assumptions!$B$13,1+(E7-1)*E11+(E8-1)*E12+(E9-1)*E13+(E10-1)*E14))</x:f>
        <x:v>1.0023199999999999</x:v>
      </x:c>
      <x:c r="F15" s="105"/>
      <x:c r="G15" s="105"/>
      <x:c r="H15" s="105"/>
      <x:c r="I15" s="105"/>
      <x:c r="J15" s="105"/>
      <x:c r="K15" s="105"/>
      <x:c r="L15" s="105"/>
      <x:c r="M15" s="105"/>
      <x:c r="N15" s="105"/>
      <x:c r="O15" s="105"/>
      <x:c r="P15" s="105"/>
      <x:c r="Q15" s="105"/>
      <x:c r="R15" s="105"/>
      <x:c r="S15" s="105"/>
      <x:c r="T15" s="105"/>
      <x:c r="U15" s="105"/>
    </x:row>
    <x:row r="16">
      <x:c r="A16" s="105"/>
      <x:c r="B16" s="105"/>
      <x:c r="C16" s="105"/>
      <x:c r="D16" s="105" t="str">
        <x:v>Projected Net / Day</x:v>
      </x:c>
      <x:c r="E16" s="110" t="n">
        <x:f>E6*E15</x:f>
        <x:v>25.057999999999996</x:v>
      </x:c>
      <x:c r="F16" s="105"/>
      <x:c r="G16" s="105"/>
      <x:c r="H16" s="105"/>
      <x:c r="I16" s="105"/>
      <x:c r="J16" s="105"/>
      <x:c r="K16" s="105"/>
      <x:c r="L16" s="105"/>
      <x:c r="M16" s="105"/>
      <x:c r="N16" s="105"/>
      <x:c r="O16" s="105"/>
      <x:c r="P16" s="105"/>
      <x:c r="Q16" s="105"/>
      <x:c r="R16" s="105"/>
      <x:c r="S16" s="105"/>
      <x:c r="T16" s="105"/>
      <x:c r="U16" s="105"/>
    </x:row>
    <x:row r="17">
      <x:c r="A17" s="105"/>
      <x:c r="B17" s="105"/>
      <x:c r="C17" s="105"/>
      <x:c r="D17" s="105"/>
      <x:c r="E17" s="105"/>
      <x:c r="F17" s="105"/>
      <x:c r="G17" s="105"/>
      <x:c r="H17" s="105"/>
      <x:c r="I17" s="105"/>
      <x:c r="J17" s="105"/>
      <x:c r="K17" s="105"/>
      <x:c r="L17" s="105"/>
      <x:c r="M17" s="105"/>
      <x:c r="N17" s="105"/>
      <x:c r="O17" s="105"/>
      <x:c r="P17" s="105"/>
      <x:c r="Q17" s="105"/>
      <x:c r="R17" s="105"/>
      <x:c r="S17" s="105"/>
      <x:c r="T17" s="105"/>
      <x:c r="U17" s="105"/>
    </x:row>
    <x:row r="18">
      <x:c r="A18" s="105"/>
      <x:c r="B18" s="105"/>
      <x:c r="C18" s="105"/>
      <x:c r="D18" s="105"/>
      <x:c r="E18" s="105"/>
      <x:c r="F18" s="105"/>
      <x:c r="G18" s="105"/>
      <x:c r="H18" s="105"/>
      <x:c r="I18" s="105"/>
      <x:c r="J18" s="105"/>
      <x:c r="K18" s="105"/>
      <x:c r="L18" s="105"/>
      <x:c r="M18" s="105"/>
      <x:c r="N18" s="105"/>
      <x:c r="O18" s="105"/>
      <x:c r="P18" s="105"/>
      <x:c r="Q18" s="105"/>
      <x:c r="R18" s="105"/>
      <x:c r="S18" s="105"/>
      <x:c r="T18" s="105"/>
      <x:c r="U18" s="105"/>
    </x:row>
    <x:row r="19">
      <x:c r="A19" s="105"/>
      <x:c r="B19" s="105"/>
      <x:c r="C19" s="105"/>
      <x:c r="D19" s="105"/>
      <x:c r="E19" s="105"/>
      <x:c r="F19" s="105"/>
      <x:c r="G19" s="105"/>
      <x:c r="H19" s="105"/>
      <x:c r="I19" s="105"/>
      <x:c r="J19" s="105"/>
      <x:c r="K19" s="105"/>
      <x:c r="L19" s="105"/>
      <x:c r="M19" s="105"/>
      <x:c r="N19" s="105"/>
      <x:c r="O19" s="105"/>
      <x:c r="P19" s="105"/>
      <x:c r="Q19" s="105"/>
      <x:c r="R19" s="105"/>
      <x:c r="S19" s="105"/>
      <x:c r="T19" s="105"/>
      <x:c r="U19" s="105"/>
    </x:row>
    <x:row r="20">
      <x:c r="A20" s="105"/>
      <x:c r="B20" s="105"/>
      <x:c r="C20" s="105"/>
      <x:c r="D20" s="105"/>
      <x:c r="E20" s="105"/>
      <x:c r="F20" s="105"/>
      <x:c r="G20" s="105"/>
      <x:c r="H20" s="105"/>
      <x:c r="I20" s="105"/>
      <x:c r="J20" s="105"/>
      <x:c r="K20" s="105"/>
      <x:c r="L20" s="105"/>
      <x:c r="M20" s="105"/>
      <x:c r="N20" s="105"/>
      <x:c r="O20" s="105"/>
      <x:c r="P20" s="105"/>
      <x:c r="Q20" s="105"/>
      <x:c r="R20" s="105"/>
      <x:c r="S20" s="105"/>
      <x:c r="T20" s="105"/>
      <x:c r="U20" s="105"/>
    </x:row>
    <x:row r="21">
      <x:c r="A21" s="105"/>
      <x:c r="B21" s="105"/>
      <x:c r="C21" s="105"/>
      <x:c r="D21" s="105"/>
      <x:c r="E21" s="105"/>
      <x:c r="F21" s="105"/>
      <x:c r="G21" s="105"/>
      <x:c r="H21" s="105"/>
      <x:c r="I21" s="105"/>
      <x:c r="J21" s="105"/>
      <x:c r="K21" s="105"/>
      <x:c r="L21" s="105"/>
      <x:c r="M21" s="105"/>
      <x:c r="N21" s="105"/>
      <x:c r="O21" s="105"/>
      <x:c r="P21" s="105"/>
      <x:c r="Q21" s="105"/>
      <x:c r="R21" s="105"/>
      <x:c r="S21" s="105"/>
      <x:c r="T21" s="105"/>
      <x:c r="U21" s="105"/>
    </x:row>
    <x:row r="22">
      <x:c r="A22" s="105"/>
      <x:c r="B22" s="105"/>
      <x:c r="C22" s="105"/>
      <x:c r="D22" s="105"/>
      <x:c r="E22" s="105"/>
      <x:c r="F22" s="105"/>
      <x:c r="G22" s="105"/>
      <x:c r="H22" s="105"/>
      <x:c r="I22" s="105"/>
      <x:c r="J22" s="105"/>
      <x:c r="K22" s="105"/>
      <x:c r="L22" s="105"/>
      <x:c r="M22" s="105"/>
      <x:c r="N22" s="105"/>
      <x:c r="O22" s="105"/>
      <x:c r="P22" s="105"/>
      <x:c r="Q22" s="105"/>
      <x:c r="R22" s="105"/>
      <x:c r="S22" s="105"/>
      <x:c r="T22" s="105"/>
      <x:c r="U22" s="105"/>
    </x:row>
    <x:row r="23">
      <x:c r="A23" s="105"/>
      <x:c r="B23" s="105"/>
      <x:c r="C23" s="105"/>
      <x:c r="D23" s="105"/>
      <x:c r="E23" s="105"/>
      <x:c r="F23" s="105"/>
      <x:c r="G23" s="105"/>
      <x:c r="H23" s="105"/>
      <x:c r="I23" s="105"/>
      <x:c r="J23" s="105"/>
      <x:c r="K23" s="105"/>
      <x:c r="L23" s="105"/>
      <x:c r="M23" s="105"/>
      <x:c r="N23" s="105"/>
      <x:c r="O23" s="105"/>
      <x:c r="P23" s="105"/>
      <x:c r="Q23" s="105"/>
      <x:c r="R23" s="105"/>
      <x:c r="S23" s="105"/>
      <x:c r="T23" s="105"/>
      <x:c r="U23" s="105"/>
    </x:row>
    <x:row r="24">
      <x:c r="A24" s="105"/>
      <x:c r="B24" s="105"/>
      <x:c r="C24" s="105"/>
      <x:c r="D24" s="105"/>
      <x:c r="E24" s="105"/>
      <x:c r="F24" s="105"/>
      <x:c r="G24" s="105"/>
      <x:c r="H24" s="105"/>
      <x:c r="I24" s="105"/>
      <x:c r="J24" s="105"/>
      <x:c r="K24" s="105"/>
      <x:c r="L24" s="105"/>
      <x:c r="M24" s="105"/>
      <x:c r="N24" s="105"/>
      <x:c r="O24" s="105"/>
      <x:c r="P24" s="105"/>
      <x:c r="Q24" s="105"/>
      <x:c r="R24" s="105"/>
      <x:c r="S24" s="105"/>
      <x:c r="T24" s="105"/>
      <x:c r="U24" s="105"/>
    </x:row>
    <x:row r="25">
      <x:c r="A25" s="105"/>
      <x:c r="B25" s="105"/>
      <x:c r="C25" s="105"/>
      <x:c r="D25" s="105"/>
      <x:c r="E25" s="105"/>
      <x:c r="F25" s="105"/>
      <x:c r="G25" s="105"/>
      <x:c r="H25" s="105"/>
      <x:c r="I25" s="105"/>
      <x:c r="J25" s="105"/>
      <x:c r="K25" s="105"/>
      <x:c r="L25" s="105"/>
      <x:c r="M25" s="105"/>
      <x:c r="N25" s="105"/>
      <x:c r="O25" s="105"/>
      <x:c r="P25" s="105"/>
      <x:c r="Q25" s="105"/>
      <x:c r="R25" s="105"/>
      <x:c r="S25" s="105"/>
      <x:c r="T25" s="105"/>
      <x:c r="U25" s="105"/>
    </x:row>
    <x:row r="26">
      <x:c r="A26" s="105"/>
      <x:c r="B26" s="105"/>
      <x:c r="C26" s="105"/>
      <x:c r="D26" s="105"/>
      <x:c r="E26" s="105"/>
      <x:c r="F26" s="105"/>
      <x:c r="G26" s="105"/>
      <x:c r="H26" s="105"/>
      <x:c r="I26" s="105"/>
      <x:c r="J26" s="105"/>
      <x:c r="K26" s="105"/>
      <x:c r="L26" s="105"/>
      <x:c r="M26" s="105"/>
      <x:c r="N26" s="105"/>
      <x:c r="O26" s="105"/>
      <x:c r="P26" s="105"/>
      <x:c r="Q26" s="105"/>
      <x:c r="R26" s="105"/>
      <x:c r="S26" s="105"/>
      <x:c r="T26" s="105"/>
      <x:c r="U26" s="105"/>
    </x:row>
    <x:row r="27">
      <x:c r="A27" s="105"/>
      <x:c r="B27" s="105"/>
      <x:c r="C27" s="105"/>
      <x:c r="D27" s="105"/>
      <x:c r="E27" s="105"/>
      <x:c r="F27" s="105"/>
      <x:c r="G27" s="105"/>
      <x:c r="H27" s="105"/>
      <x:c r="I27" s="105"/>
      <x:c r="J27" s="105"/>
      <x:c r="K27" s="105"/>
      <x:c r="L27" s="105"/>
      <x:c r="M27" s="105"/>
      <x:c r="N27" s="105"/>
      <x:c r="O27" s="105"/>
      <x:c r="P27" s="105"/>
      <x:c r="Q27" s="105"/>
      <x:c r="R27" s="105"/>
      <x:c r="S27" s="105"/>
      <x:c r="T27" s="105"/>
      <x:c r="U27" s="105"/>
    </x:row>
    <x:row r="28">
      <x:c r="A28" s="105"/>
      <x:c r="B28" s="105"/>
      <x:c r="C28" s="105"/>
      <x:c r="D28" s="105"/>
      <x:c r="E28" s="105"/>
      <x:c r="F28" s="105"/>
      <x:c r="G28" s="105"/>
      <x:c r="H28" s="105"/>
      <x:c r="I28" s="105"/>
      <x:c r="J28" s="105"/>
      <x:c r="K28" s="105"/>
      <x:c r="L28" s="105"/>
      <x:c r="M28" s="105"/>
      <x:c r="N28" s="105"/>
      <x:c r="O28" s="105"/>
      <x:c r="P28" s="105"/>
      <x:c r="Q28" s="105"/>
      <x:c r="R28" s="105"/>
      <x:c r="S28" s="105"/>
      <x:c r="T28" s="105"/>
      <x:c r="U28" s="105"/>
    </x:row>
    <x:row r="29">
      <x:c r="A29" s="105"/>
      <x:c r="B29" s="105"/>
      <x:c r="C29" s="105"/>
      <x:c r="D29" s="105"/>
      <x:c r="E29" s="105"/>
      <x:c r="F29" s="105"/>
      <x:c r="G29" s="105"/>
      <x:c r="H29" s="105"/>
      <x:c r="I29" s="105"/>
      <x:c r="J29" s="105"/>
      <x:c r="K29" s="105"/>
      <x:c r="L29" s="105"/>
      <x:c r="M29" s="105"/>
      <x:c r="N29" s="105"/>
      <x:c r="O29" s="105"/>
      <x:c r="P29" s="105"/>
      <x:c r="Q29" s="105"/>
      <x:c r="R29" s="105"/>
      <x:c r="S29" s="105"/>
      <x:c r="T29" s="105"/>
      <x:c r="U29" s="105"/>
    </x:row>
    <x:row r="30">
      <x:c r="A30" s="105"/>
      <x:c r="B30" s="105"/>
      <x:c r="C30" s="105"/>
      <x:c r="D30" s="105"/>
      <x:c r="E30" s="105"/>
      <x:c r="F30" s="105"/>
      <x:c r="G30" s="105"/>
      <x:c r="H30" s="105"/>
      <x:c r="I30" s="105"/>
      <x:c r="J30" s="105"/>
      <x:c r="K30" s="105"/>
      <x:c r="L30" s="105"/>
      <x:c r="M30" s="105"/>
      <x:c r="N30" s="105"/>
      <x:c r="O30" s="105"/>
      <x:c r="P30" s="105"/>
      <x:c r="Q30" s="105"/>
      <x:c r="R30" s="105"/>
      <x:c r="S30" s="105"/>
      <x:c r="T30" s="105"/>
      <x:c r="U30" s="105"/>
    </x:row>
    <x:row r="31">
      <x:c r="A31" s="105"/>
      <x:c r="B31" s="105"/>
      <x:c r="C31" s="105"/>
      <x:c r="D31" s="105"/>
      <x:c r="E31" s="105"/>
      <x:c r="F31" s="105"/>
      <x:c r="G31" s="105"/>
      <x:c r="H31" s="105"/>
      <x:c r="I31" s="105"/>
      <x:c r="J31" s="105"/>
      <x:c r="K31" s="105"/>
      <x:c r="L31" s="105"/>
      <x:c r="M31" s="105"/>
      <x:c r="N31" s="105"/>
      <x:c r="O31" s="105"/>
      <x:c r="P31" s="105"/>
      <x:c r="Q31" s="105"/>
      <x:c r="R31" s="105"/>
      <x:c r="S31" s="105"/>
      <x:c r="T31" s="105"/>
      <x:c r="U31" s="105"/>
    </x:row>
    <x:row r="32">
      <x:c r="A32" s="105"/>
      <x:c r="B32" s="105"/>
      <x:c r="C32" s="105"/>
      <x:c r="D32" s="105"/>
      <x:c r="E32" s="105"/>
      <x:c r="F32" s="105"/>
      <x:c r="G32" s="105"/>
      <x:c r="H32" s="105"/>
      <x:c r="I32" s="105"/>
      <x:c r="J32" s="105"/>
      <x:c r="K32" s="105"/>
      <x:c r="L32" s="105"/>
      <x:c r="M32" s="105"/>
      <x:c r="N32" s="105"/>
      <x:c r="O32" s="105"/>
      <x:c r="P32" s="105"/>
      <x:c r="Q32" s="105"/>
      <x:c r="R32" s="105"/>
      <x:c r="S32" s="105"/>
      <x:c r="T32" s="105"/>
      <x:c r="U32" s="105"/>
    </x:row>
    <x:row r="33">
      <x:c r="A33" s="105"/>
      <x:c r="B33" s="105"/>
      <x:c r="C33" s="105"/>
      <x:c r="D33" s="105"/>
      <x:c r="E33" s="105"/>
      <x:c r="F33" s="105"/>
      <x:c r="G33" s="105"/>
      <x:c r="H33" s="105"/>
      <x:c r="I33" s="105"/>
      <x:c r="J33" s="105"/>
      <x:c r="K33" s="105"/>
      <x:c r="L33" s="105"/>
      <x:c r="M33" s="105"/>
      <x:c r="N33" s="105"/>
      <x:c r="O33" s="105"/>
      <x:c r="P33" s="105"/>
      <x:c r="Q33" s="105"/>
      <x:c r="R33" s="105"/>
      <x:c r="S33" s="105"/>
      <x:c r="T33" s="105"/>
      <x:c r="U33" s="105"/>
    </x:row>
    <x:row r="34">
      <x:c r="A34" s="105"/>
      <x:c r="B34" s="105"/>
      <x:c r="C34" s="105"/>
      <x:c r="D34" s="105"/>
      <x:c r="E34" s="105"/>
      <x:c r="F34" s="105"/>
      <x:c r="G34" s="105"/>
      <x:c r="H34" s="105"/>
      <x:c r="I34" s="105"/>
      <x:c r="J34" s="105"/>
      <x:c r="K34" s="105"/>
      <x:c r="L34" s="105"/>
      <x:c r="M34" s="105"/>
      <x:c r="N34" s="105"/>
      <x:c r="O34" s="105"/>
      <x:c r="P34" s="105"/>
      <x:c r="Q34" s="105"/>
      <x:c r="R34" s="105"/>
      <x:c r="S34" s="105"/>
      <x:c r="T34" s="105"/>
      <x:c r="U34" s="105"/>
    </x:row>
    <x:row r="35">
      <x:c r="A35" s="105"/>
      <x:c r="B35" s="105"/>
      <x:c r="C35" s="105"/>
      <x:c r="D35" s="105"/>
      <x:c r="E35" s="105"/>
      <x:c r="F35" s="105"/>
      <x:c r="G35" s="105"/>
      <x:c r="H35" s="105"/>
      <x:c r="I35" s="105"/>
      <x:c r="J35" s="105"/>
      <x:c r="K35" s="105"/>
      <x:c r="L35" s="105"/>
      <x:c r="M35" s="105"/>
      <x:c r="N35" s="105"/>
      <x:c r="O35" s="105"/>
      <x:c r="P35" s="105"/>
      <x:c r="Q35" s="105"/>
      <x:c r="R35" s="105"/>
      <x:c r="S35" s="105"/>
      <x:c r="T35" s="105"/>
      <x:c r="U35" s="105"/>
    </x:row>
    <x:row r="36">
      <x:c r="A36" s="105"/>
      <x:c r="B36" s="105"/>
      <x:c r="C36" s="105"/>
      <x:c r="D36" s="105"/>
      <x:c r="E36" s="105"/>
      <x:c r="F36" s="105"/>
      <x:c r="G36" s="105"/>
      <x:c r="H36" s="105"/>
      <x:c r="I36" s="105"/>
      <x:c r="J36" s="105"/>
      <x:c r="K36" s="105"/>
      <x:c r="L36" s="105"/>
      <x:c r="M36" s="105"/>
      <x:c r="N36" s="105"/>
      <x:c r="O36" s="105"/>
      <x:c r="P36" s="105"/>
      <x:c r="Q36" s="105"/>
      <x:c r="R36" s="105"/>
      <x:c r="S36" s="105"/>
      <x:c r="T36" s="105"/>
      <x:c r="U36" s="105"/>
    </x:row>
    <x:row r="37">
      <x:c r="A37" s="105"/>
      <x:c r="B37" s="105"/>
      <x:c r="C37" s="105"/>
      <x:c r="D37" s="105"/>
      <x:c r="E37" s="105"/>
      <x:c r="F37" s="105"/>
      <x:c r="G37" s="105"/>
      <x:c r="H37" s="105"/>
      <x:c r="I37" s="105"/>
      <x:c r="J37" s="105"/>
      <x:c r="K37" s="105"/>
      <x:c r="L37" s="105"/>
      <x:c r="M37" s="105"/>
      <x:c r="N37" s="105"/>
      <x:c r="O37" s="105"/>
      <x:c r="P37" s="105"/>
      <x:c r="Q37" s="105"/>
      <x:c r="R37" s="105"/>
      <x:c r="S37" s="105"/>
      <x:c r="T37" s="105"/>
      <x:c r="U37" s="105"/>
    </x:row>
    <x:row r="38">
      <x:c r="A38" s="105"/>
      <x:c r="B38" s="105"/>
      <x:c r="C38" s="105"/>
      <x:c r="D38" s="105"/>
      <x:c r="E38" s="105"/>
      <x:c r="F38" s="105"/>
      <x:c r="G38" s="105"/>
      <x:c r="H38" s="105"/>
      <x:c r="I38" s="105"/>
      <x:c r="J38" s="105"/>
      <x:c r="K38" s="105"/>
      <x:c r="L38" s="105"/>
      <x:c r="M38" s="105"/>
      <x:c r="N38" s="105"/>
      <x:c r="O38" s="105"/>
      <x:c r="P38" s="105"/>
      <x:c r="Q38" s="105"/>
      <x:c r="R38" s="105"/>
      <x:c r="S38" s="105"/>
      <x:c r="T38" s="105"/>
      <x:c r="U38" s="105"/>
    </x:row>
    <x:row r="39">
      <x:c r="A39" s="105"/>
      <x:c r="B39" s="105"/>
      <x:c r="C39" s="105"/>
      <x:c r="D39" s="105"/>
      <x:c r="E39" s="105"/>
      <x:c r="F39" s="105"/>
      <x:c r="G39" s="105"/>
      <x:c r="H39" s="105"/>
      <x:c r="I39" s="105"/>
      <x:c r="J39" s="105"/>
      <x:c r="K39" s="105"/>
      <x:c r="L39" s="105"/>
      <x:c r="M39" s="105"/>
      <x:c r="N39" s="105"/>
      <x:c r="O39" s="105"/>
      <x:c r="P39" s="105"/>
      <x:c r="Q39" s="105"/>
      <x:c r="R39" s="105"/>
      <x:c r="S39" s="105"/>
      <x:c r="T39" s="105"/>
      <x:c r="U39" s="105"/>
    </x:row>
    <x:row r="40">
      <x:c r="A40" s="105"/>
      <x:c r="B40" s="105"/>
      <x:c r="C40" s="105"/>
      <x:c r="D40" s="105"/>
      <x:c r="E40" s="105"/>
      <x:c r="F40" s="105"/>
      <x:c r="G40" s="105"/>
      <x:c r="H40" s="105"/>
      <x:c r="I40" s="105"/>
      <x:c r="J40" s="105"/>
      <x:c r="K40" s="105"/>
      <x:c r="L40" s="105"/>
      <x:c r="M40" s="105"/>
      <x:c r="N40" s="105"/>
      <x:c r="O40" s="105"/>
      <x:c r="P40" s="105"/>
      <x:c r="Q40" s="105"/>
      <x:c r="R40" s="105"/>
      <x:c r="S40" s="105"/>
      <x:c r="T40" s="105"/>
      <x:c r="U40" s="105"/>
    </x:row>
    <x:row r="41">
      <x:c r="A41" s="105"/>
      <x:c r="B41" s="105"/>
      <x:c r="C41" s="105"/>
      <x:c r="D41" s="105"/>
      <x:c r="E41" s="105"/>
      <x:c r="F41" s="105"/>
      <x:c r="G41" s="105"/>
      <x:c r="H41" s="105"/>
      <x:c r="I41" s="105"/>
      <x:c r="J41" s="105"/>
      <x:c r="K41" s="105"/>
      <x:c r="L41" s="105"/>
      <x:c r="M41" s="105"/>
      <x:c r="N41" s="105"/>
      <x:c r="O41" s="105"/>
      <x:c r="P41" s="105"/>
      <x:c r="Q41" s="105"/>
      <x:c r="R41" s="105"/>
      <x:c r="S41" s="105"/>
      <x:c r="T41" s="105"/>
      <x:c r="U41" s="105"/>
    </x:row>
    <x:row r="42">
      <x:c r="A42" s="105"/>
      <x:c r="B42" s="105"/>
      <x:c r="C42" s="105"/>
      <x:c r="D42" s="105"/>
      <x:c r="E42" s="105"/>
      <x:c r="F42" s="105"/>
      <x:c r="G42" s="105"/>
      <x:c r="H42" s="105"/>
      <x:c r="I42" s="105"/>
      <x:c r="J42" s="105"/>
      <x:c r="K42" s="105"/>
      <x:c r="L42" s="105"/>
      <x:c r="M42" s="105"/>
      <x:c r="N42" s="105"/>
      <x:c r="O42" s="105"/>
      <x:c r="P42" s="105"/>
      <x:c r="Q42" s="105"/>
      <x:c r="R42" s="105"/>
      <x:c r="S42" s="105"/>
      <x:c r="T42" s="105"/>
      <x:c r="U42" s="105"/>
    </x:row>
    <x:row r="43">
      <x:c r="A43" s="105"/>
      <x:c r="B43" s="105"/>
      <x:c r="C43" s="105"/>
      <x:c r="D43" s="105"/>
      <x:c r="E43" s="105"/>
      <x:c r="F43" s="105"/>
      <x:c r="G43" s="105"/>
      <x:c r="H43" s="105"/>
      <x:c r="I43" s="105"/>
      <x:c r="J43" s="105"/>
      <x:c r="K43" s="105"/>
      <x:c r="L43" s="105"/>
      <x:c r="M43" s="105"/>
      <x:c r="N43" s="105"/>
      <x:c r="O43" s="105"/>
      <x:c r="P43" s="105"/>
      <x:c r="Q43" s="105"/>
      <x:c r="R43" s="105"/>
      <x:c r="S43" s="105"/>
      <x:c r="T43" s="105"/>
      <x:c r="U43" s="105"/>
    </x:row>
    <x:row r="44">
      <x:c r="A44" s="105"/>
      <x:c r="B44" s="105"/>
      <x:c r="C44" s="105"/>
      <x:c r="D44" s="105"/>
      <x:c r="E44" s="105"/>
      <x:c r="F44" s="105"/>
      <x:c r="G44" s="105"/>
      <x:c r="H44" s="105"/>
      <x:c r="I44" s="105"/>
      <x:c r="J44" s="105"/>
      <x:c r="K44" s="105"/>
      <x:c r="L44" s="105"/>
      <x:c r="M44" s="105"/>
      <x:c r="N44" s="105"/>
      <x:c r="O44" s="105"/>
      <x:c r="P44" s="105"/>
      <x:c r="Q44" s="105"/>
      <x:c r="R44" s="105"/>
      <x:c r="S44" s="105"/>
      <x:c r="T44" s="105"/>
      <x:c r="U44" s="105"/>
    </x:row>
    <x:row r="45">
      <x:c r="A45" s="105"/>
      <x:c r="B45" s="105"/>
      <x:c r="C45" s="105"/>
      <x:c r="D45" s="105"/>
      <x:c r="E45" s="105"/>
      <x:c r="F45" s="105"/>
      <x:c r="G45" s="105"/>
      <x:c r="H45" s="105"/>
      <x:c r="I45" s="105"/>
      <x:c r="J45" s="105"/>
      <x:c r="K45" s="105"/>
      <x:c r="L45" s="105"/>
      <x:c r="M45" s="105"/>
      <x:c r="N45" s="105"/>
      <x:c r="O45" s="105"/>
      <x:c r="P45" s="105"/>
      <x:c r="Q45" s="105"/>
      <x:c r="R45" s="105"/>
      <x:c r="S45" s="105"/>
      <x:c r="T45" s="105"/>
      <x:c r="U45" s="105"/>
    </x:row>
    <x:row r="46">
      <x:c r="A46" s="105"/>
      <x:c r="B46" s="105"/>
      <x:c r="C46" s="105"/>
      <x:c r="D46" s="105"/>
      <x:c r="E46" s="105"/>
      <x:c r="F46" s="105"/>
      <x:c r="G46" s="105"/>
      <x:c r="H46" s="105"/>
      <x:c r="I46" s="105"/>
      <x:c r="J46" s="105"/>
      <x:c r="K46" s="105"/>
      <x:c r="L46" s="105"/>
      <x:c r="M46" s="105"/>
      <x:c r="N46" s="105"/>
      <x:c r="O46" s="105"/>
      <x:c r="P46" s="105"/>
      <x:c r="Q46" s="105"/>
      <x:c r="R46" s="105"/>
      <x:c r="S46" s="105"/>
      <x:c r="T46" s="105"/>
      <x:c r="U46" s="105"/>
    </x:row>
    <x:row r="47">
      <x:c r="A47" s="105"/>
      <x:c r="B47" s="105"/>
      <x:c r="C47" s="105"/>
      <x:c r="D47" s="105"/>
      <x:c r="E47" s="105"/>
      <x:c r="F47" s="105"/>
      <x:c r="G47" s="105"/>
      <x:c r="H47" s="105"/>
      <x:c r="I47" s="105"/>
      <x:c r="J47" s="105"/>
      <x:c r="K47" s="105"/>
      <x:c r="L47" s="105"/>
      <x:c r="M47" s="105"/>
      <x:c r="N47" s="105"/>
      <x:c r="O47" s="105"/>
      <x:c r="P47" s="105"/>
      <x:c r="Q47" s="105"/>
      <x:c r="R47" s="105"/>
      <x:c r="S47" s="105"/>
      <x:c r="T47" s="105"/>
      <x:c r="U47" s="105"/>
    </x:row>
    <x:row r="48">
      <x:c r="A48" s="105"/>
      <x:c r="B48" s="105"/>
      <x:c r="C48" s="105"/>
      <x:c r="D48" s="105"/>
      <x:c r="E48" s="105"/>
      <x:c r="F48" s="105"/>
      <x:c r="G48" s="105"/>
      <x:c r="H48" s="105"/>
      <x:c r="I48" s="105"/>
      <x:c r="J48" s="105"/>
      <x:c r="K48" s="105"/>
      <x:c r="L48" s="105"/>
      <x:c r="M48" s="105"/>
      <x:c r="N48" s="105"/>
      <x:c r="O48" s="105"/>
      <x:c r="P48" s="105"/>
      <x:c r="Q48" s="105"/>
      <x:c r="R48" s="105"/>
      <x:c r="S48" s="105"/>
      <x:c r="T48" s="105"/>
      <x:c r="U48" s="105"/>
    </x:row>
    <x:row r="49">
      <x:c r="A49" s="105"/>
      <x:c r="B49" s="105"/>
      <x:c r="C49" s="105"/>
      <x:c r="D49" s="105"/>
      <x:c r="E49" s="105"/>
      <x:c r="F49" s="105"/>
      <x:c r="G49" s="105"/>
      <x:c r="H49" s="105"/>
      <x:c r="I49" s="105"/>
      <x:c r="J49" s="105"/>
      <x:c r="K49" s="105"/>
      <x:c r="L49" s="105"/>
      <x:c r="M49" s="105"/>
      <x:c r="N49" s="105"/>
      <x:c r="O49" s="105"/>
      <x:c r="P49" s="105"/>
      <x:c r="Q49" s="105"/>
      <x:c r="R49" s="105"/>
      <x:c r="S49" s="105"/>
      <x:c r="T49" s="105"/>
      <x:c r="U49" s="105"/>
    </x:row>
    <x:row r="50">
      <x:c r="A50" s="105"/>
      <x:c r="B50" s="105"/>
      <x:c r="C50" s="105"/>
      <x:c r="D50" s="105"/>
      <x:c r="E50" s="105"/>
      <x:c r="F50" s="105"/>
      <x:c r="G50" s="105"/>
      <x:c r="H50" s="105"/>
      <x:c r="I50" s="105"/>
      <x:c r="J50" s="105"/>
      <x:c r="K50" s="105"/>
      <x:c r="L50" s="105"/>
      <x:c r="M50" s="105"/>
      <x:c r="N50" s="105"/>
      <x:c r="O50" s="105"/>
      <x:c r="P50" s="105"/>
      <x:c r="Q50" s="105"/>
      <x:c r="R50" s="105"/>
      <x:c r="S50" s="105"/>
      <x:c r="T50" s="105"/>
      <x:c r="U50" s="105"/>
    </x:row>
    <x:row r="51">
      <x:c r="A51" s="105"/>
      <x:c r="B51" s="105"/>
      <x:c r="C51" s="105"/>
      <x:c r="D51" s="105"/>
      <x:c r="E51" s="105"/>
      <x:c r="F51" s="105"/>
      <x:c r="G51" s="105"/>
      <x:c r="H51" s="105"/>
      <x:c r="I51" s="105"/>
      <x:c r="J51" s="105"/>
      <x:c r="K51" s="105"/>
      <x:c r="L51" s="105"/>
      <x:c r="M51" s="105"/>
      <x:c r="N51" s="105"/>
      <x:c r="O51" s="105"/>
      <x:c r="P51" s="105"/>
      <x:c r="Q51" s="105"/>
      <x:c r="R51" s="105"/>
      <x:c r="S51" s="105"/>
      <x:c r="T51" s="105"/>
      <x:c r="U51" s="105"/>
    </x:row>
    <x:row r="52">
      <x:c r="A52" s="105"/>
      <x:c r="B52" s="105"/>
      <x:c r="C52" s="105"/>
      <x:c r="D52" s="105"/>
      <x:c r="E52" s="105"/>
      <x:c r="F52" s="105"/>
      <x:c r="G52" s="105"/>
      <x:c r="H52" s="105"/>
      <x:c r="I52" s="105"/>
      <x:c r="J52" s="105"/>
      <x:c r="K52" s="105"/>
      <x:c r="L52" s="105"/>
      <x:c r="M52" s="105"/>
      <x:c r="N52" s="105"/>
      <x:c r="O52" s="105"/>
      <x:c r="P52" s="105"/>
      <x:c r="Q52" s="105"/>
      <x:c r="R52" s="105"/>
      <x:c r="S52" s="105"/>
      <x:c r="T52" s="105"/>
      <x:c r="U52" s="105"/>
    </x:row>
    <x:row r="53">
      <x:c r="A53" s="105"/>
      <x:c r="B53" s="105"/>
      <x:c r="C53" s="105"/>
      <x:c r="D53" s="105"/>
      <x:c r="E53" s="105"/>
      <x:c r="F53" s="105"/>
      <x:c r="G53" s="105"/>
      <x:c r="H53" s="105"/>
      <x:c r="I53" s="105"/>
      <x:c r="J53" s="105"/>
      <x:c r="K53" s="105"/>
      <x:c r="L53" s="105"/>
      <x:c r="M53" s="105"/>
      <x:c r="N53" s="105"/>
      <x:c r="O53" s="105"/>
      <x:c r="P53" s="105"/>
      <x:c r="Q53" s="105"/>
      <x:c r="R53" s="105"/>
      <x:c r="S53" s="105"/>
      <x:c r="T53" s="105"/>
      <x:c r="U53" s="105"/>
    </x:row>
    <x:row r="54">
      <x:c r="A54" s="105"/>
      <x:c r="B54" s="105"/>
      <x:c r="C54" s="105"/>
      <x:c r="D54" s="105"/>
      <x:c r="E54" s="105"/>
      <x:c r="F54" s="105"/>
      <x:c r="G54" s="105"/>
      <x:c r="H54" s="105"/>
      <x:c r="I54" s="105"/>
      <x:c r="J54" s="105"/>
      <x:c r="K54" s="105"/>
      <x:c r="L54" s="105"/>
      <x:c r="M54" s="105"/>
      <x:c r="N54" s="105"/>
      <x:c r="O54" s="105"/>
      <x:c r="P54" s="105"/>
      <x:c r="Q54" s="105"/>
      <x:c r="R54" s="105"/>
      <x:c r="S54" s="105"/>
      <x:c r="T54" s="105"/>
      <x:c r="U54" s="105"/>
    </x:row>
    <x:row r="55">
      <x:c r="A55" s="105"/>
      <x:c r="B55" s="105"/>
      <x:c r="C55" s="105"/>
      <x:c r="D55" s="105"/>
      <x:c r="E55" s="105"/>
      <x:c r="F55" s="105"/>
      <x:c r="G55" s="105"/>
      <x:c r="H55" s="105"/>
      <x:c r="I55" s="105"/>
      <x:c r="J55" s="105"/>
      <x:c r="K55" s="105"/>
      <x:c r="L55" s="105"/>
      <x:c r="M55" s="105"/>
      <x:c r="N55" s="105"/>
      <x:c r="O55" s="105"/>
      <x:c r="P55" s="105"/>
      <x:c r="Q55" s="105"/>
      <x:c r="R55" s="105"/>
      <x:c r="S55" s="105"/>
      <x:c r="T55" s="105"/>
      <x:c r="U55" s="105"/>
    </x:row>
    <x:row r="56">
      <x:c r="A56" s="105"/>
      <x:c r="B56" s="105"/>
      <x:c r="C56" s="105"/>
      <x:c r="D56" s="105"/>
      <x:c r="E56" s="105"/>
      <x:c r="F56" s="105"/>
      <x:c r="G56" s="105"/>
      <x:c r="H56" s="105"/>
      <x:c r="I56" s="105"/>
      <x:c r="J56" s="105"/>
      <x:c r="K56" s="105"/>
      <x:c r="L56" s="105"/>
      <x:c r="M56" s="105"/>
      <x:c r="N56" s="105"/>
      <x:c r="O56" s="105"/>
      <x:c r="P56" s="105"/>
      <x:c r="Q56" s="105"/>
      <x:c r="R56" s="105"/>
      <x:c r="S56" s="105"/>
      <x:c r="T56" s="105"/>
      <x:c r="U56" s="105"/>
    </x:row>
    <x:row r="57">
      <x:c r="A57" s="105"/>
      <x:c r="B57" s="105"/>
      <x:c r="C57" s="105"/>
      <x:c r="D57" s="105"/>
      <x:c r="E57" s="105"/>
      <x:c r="F57" s="105"/>
      <x:c r="G57" s="105"/>
      <x:c r="H57" s="105"/>
      <x:c r="I57" s="105"/>
      <x:c r="J57" s="105"/>
      <x:c r="K57" s="105"/>
      <x:c r="L57" s="105"/>
      <x:c r="M57" s="105"/>
      <x:c r="N57" s="105"/>
      <x:c r="O57" s="105"/>
      <x:c r="P57" s="105"/>
      <x:c r="Q57" s="105"/>
      <x:c r="R57" s="105"/>
      <x:c r="S57" s="105"/>
      <x:c r="T57" s="105"/>
      <x:c r="U57" s="105"/>
    </x:row>
    <x:row r="58">
      <x:c r="A58" s="105"/>
      <x:c r="B58" s="105"/>
      <x:c r="C58" s="105"/>
      <x:c r="D58" s="105"/>
      <x:c r="E58" s="105"/>
      <x:c r="F58" s="105"/>
      <x:c r="G58" s="105"/>
      <x:c r="H58" s="105"/>
      <x:c r="I58" s="105"/>
      <x:c r="J58" s="105"/>
      <x:c r="K58" s="105"/>
      <x:c r="L58" s="105"/>
      <x:c r="M58" s="105"/>
      <x:c r="N58" s="105"/>
      <x:c r="O58" s="105"/>
      <x:c r="P58" s="105"/>
      <x:c r="Q58" s="105"/>
      <x:c r="R58" s="105"/>
      <x:c r="S58" s="105"/>
      <x:c r="T58" s="105"/>
      <x:c r="U58" s="105"/>
    </x:row>
    <x:row r="59">
      <x:c r="A59" s="105"/>
      <x:c r="B59" s="105"/>
      <x:c r="C59" s="105"/>
      <x:c r="D59" s="105"/>
      <x:c r="E59" s="105"/>
      <x:c r="F59" s="105"/>
      <x:c r="G59" s="105"/>
      <x:c r="H59" s="105"/>
      <x:c r="I59" s="105"/>
      <x:c r="J59" s="105"/>
      <x:c r="K59" s="105"/>
      <x:c r="L59" s="105"/>
      <x:c r="M59" s="105"/>
      <x:c r="N59" s="105"/>
      <x:c r="O59" s="105"/>
      <x:c r="P59" s="105"/>
      <x:c r="Q59" s="105"/>
      <x:c r="R59" s="105"/>
      <x:c r="S59" s="105"/>
      <x:c r="T59" s="105"/>
      <x:c r="U59" s="105"/>
    </x:row>
    <x:row r="60">
      <x:c r="A60" s="105"/>
      <x:c r="B60" s="105"/>
      <x:c r="C60" s="105"/>
      <x:c r="D60" s="105"/>
      <x:c r="E60" s="105"/>
      <x:c r="F60" s="105"/>
      <x:c r="G60" s="105"/>
      <x:c r="H60" s="105"/>
      <x:c r="I60" s="105"/>
      <x:c r="J60" s="105"/>
      <x:c r="K60" s="105"/>
      <x:c r="L60" s="105"/>
      <x:c r="M60" s="105"/>
      <x:c r="N60" s="105"/>
      <x:c r="O60" s="105"/>
      <x:c r="P60" s="105"/>
      <x:c r="Q60" s="105"/>
      <x:c r="R60" s="105"/>
      <x:c r="S60" s="105"/>
      <x:c r="T60" s="105"/>
      <x:c r="U60" s="105"/>
    </x:row>
    <x:row r="61">
      <x:c r="A61" s="105"/>
      <x:c r="B61" s="105"/>
      <x:c r="C61" s="105"/>
      <x:c r="D61" s="105"/>
      <x:c r="E61" s="105"/>
      <x:c r="F61" s="105"/>
      <x:c r="G61" s="105"/>
      <x:c r="H61" s="105"/>
      <x:c r="I61" s="105"/>
      <x:c r="J61" s="105"/>
      <x:c r="K61" s="105"/>
      <x:c r="L61" s="105"/>
      <x:c r="M61" s="105"/>
      <x:c r="N61" s="105"/>
      <x:c r="O61" s="105"/>
      <x:c r="P61" s="105"/>
      <x:c r="Q61" s="105"/>
      <x:c r="R61" s="105"/>
      <x:c r="S61" s="105"/>
      <x:c r="T61" s="105"/>
      <x:c r="U61" s="105"/>
    </x:row>
    <x:row r="62">
      <x:c r="A62" s="105"/>
      <x:c r="B62" s="105"/>
      <x:c r="C62" s="105"/>
      <x:c r="D62" s="105"/>
      <x:c r="E62" s="105"/>
      <x:c r="F62" s="105"/>
      <x:c r="G62" s="105"/>
      <x:c r="H62" s="105"/>
      <x:c r="I62" s="105"/>
      <x:c r="J62" s="105"/>
      <x:c r="K62" s="105"/>
      <x:c r="L62" s="105"/>
      <x:c r="M62" s="105"/>
      <x:c r="N62" s="105"/>
      <x:c r="O62" s="105"/>
      <x:c r="P62" s="105"/>
      <x:c r="Q62" s="105"/>
      <x:c r="R62" s="105"/>
      <x:c r="S62" s="105"/>
      <x:c r="T62" s="105"/>
      <x:c r="U62" s="105"/>
    </x:row>
    <x:row r="63">
      <x:c r="A63" s="105"/>
      <x:c r="B63" s="105"/>
      <x:c r="C63" s="105"/>
      <x:c r="D63" s="105"/>
      <x:c r="E63" s="105"/>
      <x:c r="F63" s="105"/>
      <x:c r="G63" s="105"/>
      <x:c r="H63" s="105"/>
      <x:c r="I63" s="105"/>
      <x:c r="J63" s="105"/>
      <x:c r="K63" s="105"/>
      <x:c r="L63" s="105"/>
      <x:c r="M63" s="105"/>
      <x:c r="N63" s="105"/>
      <x:c r="O63" s="105"/>
      <x:c r="P63" s="105"/>
      <x:c r="Q63" s="105"/>
      <x:c r="R63" s="105"/>
      <x:c r="S63" s="105"/>
      <x:c r="T63" s="105"/>
      <x:c r="U63" s="105"/>
    </x:row>
    <x:row r="64">
      <x:c r="A64" s="105"/>
      <x:c r="B64" s="105"/>
      <x:c r="C64" s="105"/>
      <x:c r="D64" s="105"/>
      <x:c r="E64" s="105"/>
      <x:c r="F64" s="105"/>
      <x:c r="G64" s="105"/>
      <x:c r="H64" s="105"/>
      <x:c r="I64" s="105"/>
      <x:c r="J64" s="105"/>
      <x:c r="K64" s="105"/>
      <x:c r="L64" s="105"/>
      <x:c r="M64" s="105"/>
      <x:c r="N64" s="105"/>
      <x:c r="O64" s="105"/>
      <x:c r="P64" s="105"/>
      <x:c r="Q64" s="105"/>
      <x:c r="R64" s="105"/>
      <x:c r="S64" s="105"/>
      <x:c r="T64" s="105"/>
      <x:c r="U64" s="105"/>
    </x:row>
    <x:row r="65">
      <x:c r="A65" s="105"/>
      <x:c r="B65" s="105"/>
      <x:c r="C65" s="105"/>
      <x:c r="D65" s="105"/>
      <x:c r="E65" s="105"/>
      <x:c r="F65" s="105"/>
      <x:c r="G65" s="105"/>
      <x:c r="H65" s="105"/>
      <x:c r="I65" s="105"/>
      <x:c r="J65" s="105"/>
      <x:c r="K65" s="105"/>
      <x:c r="L65" s="105"/>
      <x:c r="M65" s="105"/>
      <x:c r="N65" s="105"/>
      <x:c r="O65" s="105"/>
      <x:c r="P65" s="105"/>
      <x:c r="Q65" s="105"/>
      <x:c r="R65" s="105"/>
      <x:c r="S65" s="105"/>
      <x:c r="T65" s="105"/>
      <x:c r="U65" s="105"/>
    </x:row>
    <x:row r="66">
      <x:c r="A66" s="105"/>
      <x:c r="B66" s="105"/>
      <x:c r="C66" s="105"/>
      <x:c r="D66" s="105"/>
      <x:c r="E66" s="105"/>
      <x:c r="F66" s="105"/>
      <x:c r="G66" s="105"/>
      <x:c r="H66" s="105"/>
      <x:c r="I66" s="105"/>
      <x:c r="J66" s="105"/>
      <x:c r="K66" s="105"/>
      <x:c r="L66" s="105"/>
      <x:c r="M66" s="105"/>
      <x:c r="N66" s="105"/>
      <x:c r="O66" s="105"/>
      <x:c r="P66" s="105"/>
      <x:c r="Q66" s="105"/>
      <x:c r="R66" s="105"/>
      <x:c r="S66" s="105"/>
      <x:c r="T66" s="105"/>
      <x:c r="U66" s="105"/>
    </x:row>
    <x:row r="67">
      <x:c r="A67" s="105"/>
      <x:c r="B67" s="105"/>
      <x:c r="C67" s="105"/>
      <x:c r="D67" s="105"/>
      <x:c r="E67" s="105"/>
      <x:c r="F67" s="105"/>
      <x:c r="G67" s="105"/>
      <x:c r="H67" s="105"/>
      <x:c r="I67" s="105"/>
      <x:c r="J67" s="105"/>
      <x:c r="K67" s="105"/>
      <x:c r="L67" s="105"/>
      <x:c r="M67" s="105"/>
      <x:c r="N67" s="105"/>
      <x:c r="O67" s="105"/>
      <x:c r="P67" s="105"/>
      <x:c r="Q67" s="105"/>
      <x:c r="R67" s="105"/>
      <x:c r="S67" s="105"/>
      <x:c r="T67" s="105"/>
      <x:c r="U67" s="105"/>
    </x:row>
    <x:row r="68">
      <x:c r="A68" s="105"/>
      <x:c r="B68" s="105"/>
      <x:c r="C68" s="105"/>
      <x:c r="D68" s="105"/>
      <x:c r="E68" s="105"/>
      <x:c r="F68" s="105"/>
      <x:c r="G68" s="105"/>
      <x:c r="H68" s="105"/>
      <x:c r="I68" s="105"/>
      <x:c r="J68" s="105"/>
      <x:c r="K68" s="105"/>
      <x:c r="L68" s="105"/>
      <x:c r="M68" s="105"/>
      <x:c r="N68" s="105"/>
      <x:c r="O68" s="105"/>
      <x:c r="P68" s="105"/>
      <x:c r="Q68" s="105"/>
      <x:c r="R68" s="105"/>
      <x:c r="S68" s="105"/>
      <x:c r="T68" s="105"/>
      <x:c r="U68" s="105"/>
    </x:row>
    <x:row r="69">
      <x:c r="A69" s="105"/>
      <x:c r="B69" s="105"/>
      <x:c r="C69" s="105"/>
      <x:c r="D69" s="105"/>
      <x:c r="E69" s="105"/>
      <x:c r="F69" s="105"/>
      <x:c r="G69" s="105"/>
      <x:c r="H69" s="105"/>
      <x:c r="I69" s="105"/>
      <x:c r="J69" s="105"/>
      <x:c r="K69" s="105"/>
      <x:c r="L69" s="105"/>
      <x:c r="M69" s="105"/>
      <x:c r="N69" s="105"/>
      <x:c r="O69" s="105"/>
      <x:c r="P69" s="105"/>
      <x:c r="Q69" s="105"/>
      <x:c r="R69" s="105"/>
      <x:c r="S69" s="105"/>
      <x:c r="T69" s="105"/>
      <x:c r="U69" s="105"/>
    </x:row>
    <x:row r="70">
      <x:c r="A70" s="105"/>
      <x:c r="B70" s="105"/>
      <x:c r="C70" s="105"/>
      <x:c r="D70" s="105"/>
      <x:c r="E70" s="105"/>
      <x:c r="F70" s="105"/>
      <x:c r="G70" s="105"/>
      <x:c r="H70" s="105"/>
      <x:c r="I70" s="105"/>
      <x:c r="J70" s="105"/>
      <x:c r="K70" s="105"/>
      <x:c r="L70" s="105"/>
      <x:c r="M70" s="105"/>
      <x:c r="N70" s="105"/>
      <x:c r="O70" s="105"/>
      <x:c r="P70" s="105"/>
      <x:c r="Q70" s="105"/>
      <x:c r="R70" s="105"/>
      <x:c r="S70" s="105"/>
      <x:c r="T70" s="105"/>
      <x:c r="U70" s="105"/>
    </x:row>
    <x:row r="71">
      <x:c r="A71" s="105"/>
      <x:c r="B71" s="105"/>
      <x:c r="C71" s="105"/>
      <x:c r="D71" s="105"/>
      <x:c r="E71" s="105"/>
      <x:c r="F71" s="105"/>
      <x:c r="G71" s="105"/>
      <x:c r="H71" s="105"/>
      <x:c r="I71" s="105"/>
      <x:c r="J71" s="105"/>
      <x:c r="K71" s="105"/>
      <x:c r="L71" s="105"/>
      <x:c r="M71" s="105"/>
      <x:c r="N71" s="105"/>
      <x:c r="O71" s="105"/>
      <x:c r="P71" s="105"/>
      <x:c r="Q71" s="105"/>
      <x:c r="R71" s="105"/>
      <x:c r="S71" s="105"/>
      <x:c r="T71" s="105"/>
      <x:c r="U71" s="105"/>
    </x:row>
    <x:row r="72">
      <x:c r="A72" s="105"/>
      <x:c r="B72" s="105"/>
      <x:c r="C72" s="105"/>
      <x:c r="D72" s="105"/>
      <x:c r="E72" s="105"/>
      <x:c r="F72" s="105"/>
      <x:c r="G72" s="105"/>
      <x:c r="H72" s="105"/>
      <x:c r="I72" s="105"/>
      <x:c r="J72" s="105"/>
      <x:c r="K72" s="105"/>
      <x:c r="L72" s="105"/>
      <x:c r="M72" s="105"/>
      <x:c r="N72" s="105"/>
      <x:c r="O72" s="105"/>
      <x:c r="P72" s="105"/>
      <x:c r="Q72" s="105"/>
      <x:c r="R72" s="105"/>
      <x:c r="S72" s="105"/>
      <x:c r="T72" s="105"/>
      <x:c r="U72" s="105"/>
    </x:row>
    <x:row r="73">
      <x:c r="A73" s="105"/>
      <x:c r="B73" s="105"/>
      <x:c r="C73" s="105"/>
      <x:c r="D73" s="105"/>
      <x:c r="E73" s="105"/>
      <x:c r="F73" s="105"/>
      <x:c r="G73" s="105"/>
      <x:c r="H73" s="105"/>
      <x:c r="I73" s="105"/>
      <x:c r="J73" s="105"/>
      <x:c r="K73" s="105"/>
      <x:c r="L73" s="105"/>
      <x:c r="M73" s="105"/>
      <x:c r="N73" s="105"/>
      <x:c r="O73" s="105"/>
      <x:c r="P73" s="105"/>
      <x:c r="Q73" s="105"/>
      <x:c r="R73" s="105"/>
      <x:c r="S73" s="105"/>
      <x:c r="T73" s="105"/>
      <x:c r="U73" s="105"/>
    </x:row>
    <x:row r="74">
      <x:c r="A74" s="105"/>
      <x:c r="B74" s="105"/>
      <x:c r="C74" s="105"/>
      <x:c r="D74" s="105"/>
      <x:c r="E74" s="105"/>
      <x:c r="F74" s="105"/>
      <x:c r="G74" s="105"/>
      <x:c r="H74" s="105"/>
      <x:c r="I74" s="105"/>
      <x:c r="J74" s="105"/>
      <x:c r="K74" s="105"/>
      <x:c r="L74" s="105"/>
      <x:c r="M74" s="105"/>
      <x:c r="N74" s="105"/>
      <x:c r="O74" s="105"/>
      <x:c r="P74" s="105"/>
      <x:c r="Q74" s="105"/>
      <x:c r="R74" s="105"/>
      <x:c r="S74" s="105"/>
      <x:c r="T74" s="105"/>
      <x:c r="U74" s="105"/>
    </x:row>
    <x:row r="75">
      <x:c r="A75" s="105"/>
      <x:c r="B75" s="105"/>
      <x:c r="C75" s="105"/>
      <x:c r="D75" s="105"/>
      <x:c r="E75" s="105"/>
      <x:c r="F75" s="105"/>
      <x:c r="G75" s="105"/>
      <x:c r="H75" s="105"/>
      <x:c r="I75" s="105"/>
      <x:c r="J75" s="105"/>
      <x:c r="K75" s="105"/>
      <x:c r="L75" s="105"/>
      <x:c r="M75" s="105"/>
      <x:c r="N75" s="105"/>
      <x:c r="O75" s="105"/>
      <x:c r="P75" s="105"/>
      <x:c r="Q75" s="105"/>
      <x:c r="R75" s="105"/>
      <x:c r="S75" s="105"/>
      <x:c r="T75" s="105"/>
      <x:c r="U75" s="105"/>
    </x:row>
    <x:row r="76">
      <x:c r="A76" s="105"/>
      <x:c r="B76" s="105"/>
      <x:c r="C76" s="105"/>
      <x:c r="D76" s="105"/>
      <x:c r="E76" s="105"/>
      <x:c r="F76" s="105"/>
      <x:c r="G76" s="105"/>
      <x:c r="H76" s="105"/>
      <x:c r="I76" s="105"/>
      <x:c r="J76" s="105"/>
      <x:c r="K76" s="105"/>
      <x:c r="L76" s="105"/>
      <x:c r="M76" s="105"/>
      <x:c r="N76" s="105"/>
      <x:c r="O76" s="105"/>
      <x:c r="P76" s="105"/>
      <x:c r="Q76" s="105"/>
      <x:c r="R76" s="105"/>
      <x:c r="S76" s="105"/>
      <x:c r="T76" s="105"/>
      <x:c r="U76" s="105"/>
    </x:row>
    <x:row r="77">
      <x:c r="A77" s="105"/>
      <x:c r="B77" s="105"/>
      <x:c r="C77" s="105"/>
      <x:c r="D77" s="105"/>
      <x:c r="E77" s="105"/>
      <x:c r="F77" s="105"/>
      <x:c r="G77" s="105"/>
      <x:c r="H77" s="105"/>
      <x:c r="I77" s="105"/>
      <x:c r="J77" s="105"/>
      <x:c r="K77" s="105"/>
      <x:c r="L77" s="105"/>
      <x:c r="M77" s="105"/>
      <x:c r="N77" s="105"/>
      <x:c r="O77" s="105"/>
      <x:c r="P77" s="105"/>
      <x:c r="Q77" s="105"/>
      <x:c r="R77" s="105"/>
      <x:c r="S77" s="105"/>
      <x:c r="T77" s="105"/>
      <x:c r="U77" s="105"/>
    </x:row>
    <x:row r="78">
      <x:c r="A78" s="105"/>
      <x:c r="B78" s="105"/>
      <x:c r="C78" s="105"/>
      <x:c r="D78" s="105"/>
      <x:c r="E78" s="105"/>
      <x:c r="F78" s="105"/>
      <x:c r="G78" s="105"/>
      <x:c r="H78" s="105"/>
      <x:c r="I78" s="105"/>
      <x:c r="J78" s="105"/>
      <x:c r="K78" s="105"/>
      <x:c r="L78" s="105"/>
      <x:c r="M78" s="105"/>
      <x:c r="N78" s="105"/>
      <x:c r="O78" s="105"/>
      <x:c r="P78" s="105"/>
      <x:c r="Q78" s="105"/>
      <x:c r="R78" s="105"/>
      <x:c r="S78" s="105"/>
      <x:c r="T78" s="105"/>
      <x:c r="U78" s="105"/>
    </x:row>
    <x:row r="79">
      <x:c r="A79" s="105"/>
      <x:c r="B79" s="105"/>
      <x:c r="C79" s="105"/>
      <x:c r="D79" s="105"/>
      <x:c r="E79" s="105"/>
      <x:c r="F79" s="105"/>
      <x:c r="G79" s="105"/>
      <x:c r="H79" s="105"/>
      <x:c r="I79" s="105"/>
      <x:c r="J79" s="105"/>
      <x:c r="K79" s="105"/>
      <x:c r="L79" s="105"/>
      <x:c r="M79" s="105"/>
      <x:c r="N79" s="105"/>
      <x:c r="O79" s="105"/>
      <x:c r="P79" s="105"/>
      <x:c r="Q79" s="105"/>
      <x:c r="R79" s="105"/>
      <x:c r="S79" s="105"/>
      <x:c r="T79" s="105"/>
      <x:c r="U79" s="105"/>
    </x:row>
    <x:row r="80">
      <x:c r="A80" s="105"/>
      <x:c r="B80" s="105"/>
      <x:c r="C80" s="105"/>
      <x:c r="D80" s="105"/>
      <x:c r="E80" s="105"/>
      <x:c r="F80" s="105"/>
      <x:c r="G80" s="105"/>
      <x:c r="H80" s="105"/>
      <x:c r="I80" s="105"/>
      <x:c r="J80" s="105"/>
      <x:c r="K80" s="105"/>
      <x:c r="L80" s="105"/>
      <x:c r="M80" s="105"/>
      <x:c r="N80" s="105"/>
      <x:c r="O80" s="105"/>
      <x:c r="P80" s="105"/>
      <x:c r="Q80" s="105"/>
      <x:c r="R80" s="105"/>
      <x:c r="S80" s="105"/>
      <x:c r="T80" s="105"/>
      <x:c r="U80" s="105"/>
    </x:row>
  </x:sheetData>
  <x:mergeCells>
    <x:mergeCell ref="A1:H1"/>
  </x:mergeCells>
  <x:dataValidations count="3">
    <x:dataValidation type="list" sqref="B3">
      <x:formula1>'Building Balance'!$B$2:$B$51</x:formula1>
    </x:dataValidation>
    <x:dataValidation type="list" sqref="B4">
      <x:formula1>'Hex Balance'!$A$2:$A$36</x:formula1>
    </x:dataValidation>
    <x:dataValidation type="list" sqref="B5">
      <x:formula1>"1,2,3"</x:formula1>
    </x:dataValidation>
  </x:dataValidations>
  <x:pageMargins left="0.7" right="0.7" top="0.75" bottom="0.75" header="0.3" footer="0.3"/>
</x:worksheet>
</file>